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Team Roster" sheetId="3" state="visible" r:id="rId5"/>
    <sheet name="Salary Schedule" sheetId="4" state="visible" r:id="rId6"/>
    <sheet name="Contractors" sheetId="5" state="visible" r:id="rId7"/>
    <sheet name="Software &amp; Infra" sheetId="6" state="visible" r:id="rId8"/>
    <sheet name="Hardware &amp; Setup" sheetId="7" state="visible" r:id="rId9"/>
    <sheet name="Quarterly Summary" sheetId="8" state="visible" r:id="rId10"/>
  </sheets>
  <definedNames>
    <definedName function="false" hidden="false" name="BenefitsLoading" vbProcedure="false">Assumptions!$B$4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Placeholder — fee model TBD with Egybell</t>
        </r>
      </text>
    </comment>
    <comment ref="B5" authorId="0">
      <text>
        <r>
          <rPr>
            <sz val="10"/>
            <rFont val="Arial"/>
            <family val="2"/>
          </rPr>
          <t xml:space="preserve">Placeholder — spot engagement</t>
        </r>
      </text>
    </comment>
    <comment ref="B6" authorId="0">
      <text>
        <r>
          <rPr>
            <sz val="10"/>
            <rFont val="Arial"/>
            <family val="2"/>
          </rPr>
          <t xml:space="preserve">Placeholder — pre-launch audit</t>
        </r>
      </text>
    </comment>
    <comment ref="B7" authorId="0">
      <text>
        <r>
          <rPr>
            <sz val="10"/>
            <rFont val="Arial"/>
            <family val="2"/>
          </rPr>
          <t xml:space="preserve">Placeholder — retainer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Placeholder — starts small, scales with usage</t>
        </r>
      </text>
    </comment>
    <comment ref="B5" authorId="0">
      <text>
        <r>
          <rPr>
            <sz val="10"/>
            <rFont val="Arial"/>
            <family val="2"/>
          </rPr>
          <t xml:space="preserve">Placeholder</t>
        </r>
      </text>
    </comment>
    <comment ref="B6" authorId="0">
      <text>
        <r>
          <rPr>
            <sz val="10"/>
            <rFont val="Arial"/>
            <family val="2"/>
          </rPr>
          <t xml:space="preserve">Placeholder — per-seat</t>
        </r>
      </text>
    </comment>
    <comment ref="B7" authorId="0">
      <text>
        <r>
          <rPr>
            <sz val="10"/>
            <rFont val="Arial"/>
            <family val="2"/>
          </rPr>
          <t xml:space="preserve">Placeholder — for design team</t>
        </r>
      </text>
    </comment>
    <comment ref="B8" authorId="0">
      <text>
        <r>
          <rPr>
            <sz val="10"/>
            <rFont val="Arial"/>
            <family val="2"/>
          </rPr>
          <t xml:space="preserve">Placeholder</t>
        </r>
      </text>
    </comment>
    <comment ref="B9" authorId="0">
      <text>
        <r>
          <rPr>
            <sz val="10"/>
            <rFont val="Arial"/>
            <family val="2"/>
          </rPr>
          <t xml:space="preserve">Placeholder</t>
        </r>
      </text>
    </comment>
    <comment ref="B10" authorId="0">
      <text>
        <r>
          <rPr>
            <sz val="10"/>
            <rFont val="Arial"/>
            <family val="2"/>
          </rPr>
          <t xml:space="preserve">Placeholder</t>
        </r>
      </text>
    </comment>
    <comment ref="B11" authorId="0">
      <text>
        <r>
          <rPr>
            <sz val="10"/>
            <rFont val="Arial"/>
            <family val="2"/>
          </rPr>
          <t xml:space="preserve">Placeholder</t>
        </r>
      </text>
    </comment>
    <comment ref="B12" authorId="0">
      <text>
        <r>
          <rPr>
            <sz val="10"/>
            <rFont val="Arial"/>
            <family val="2"/>
          </rPr>
          <t xml:space="preserve">Placeholder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4" authorId="0">
      <text>
        <r>
          <rPr>
            <sz val="10"/>
            <rFont val="Arial"/>
            <family val="2"/>
          </rPr>
          <t xml:space="preserve">4 × ~EGP 40K — Sabry, Khaled, Rodaina, Ehab</t>
        </r>
      </text>
    </comment>
    <comment ref="B5" authorId="0">
      <text>
        <r>
          <rPr>
            <sz val="10"/>
            <rFont val="Arial"/>
            <family val="2"/>
          </rPr>
          <t xml:space="preserve">FE + BE senior devs</t>
        </r>
      </text>
    </comment>
    <comment ref="B6" authorId="0">
      <text>
        <r>
          <rPr>
            <sz val="10"/>
            <rFont val="Arial"/>
            <family val="2"/>
          </rPr>
          <t xml:space="preserve">QA, DevOps, mid FE, mid BE</t>
        </r>
      </text>
    </comment>
    <comment ref="B7" authorId="0">
      <text>
        <r>
          <rPr>
            <sz val="10"/>
            <rFont val="Arial"/>
            <family val="2"/>
          </rPr>
          <t xml:space="preserve">Displays, keyboards, accessories</t>
        </r>
      </text>
    </comment>
    <comment ref="B8" authorId="0">
      <text>
        <r>
          <rPr>
            <sz val="10"/>
            <rFont val="Arial"/>
            <family val="2"/>
          </rPr>
          <t xml:space="preserve">Desks, chairs, cameras</t>
        </r>
      </text>
    </comment>
    <comment ref="B9" authorId="0">
      <text>
        <r>
          <rPr>
            <sz val="10"/>
            <rFont val="Arial"/>
            <family val="2"/>
          </rPr>
          <t xml:space="preserve">Reserve for Year 2</t>
        </r>
      </text>
    </comment>
  </commentList>
</comments>
</file>

<file path=xl/sharedStrings.xml><?xml version="1.0" encoding="utf-8"?>
<sst xmlns="http://schemas.openxmlformats.org/spreadsheetml/2006/main" count="250" uniqueCount="162">
  <si>
    <t xml:space="preserve">  PRAXION HROS — Team Mobilization &amp; Expense Budget</t>
  </si>
  <si>
    <t xml:space="preserve">Document</t>
  </si>
  <si>
    <t xml:space="preserve">Praxion HROS — Team Mobilization, Salaries &amp; Expenses</t>
  </si>
  <si>
    <t xml:space="preserve">Version</t>
  </si>
  <si>
    <t xml:space="preserve">v1.0</t>
  </si>
  <si>
    <t xml:space="preserve">Prepared</t>
  </si>
  <si>
    <t xml:space="preserve">2026-04-19</t>
  </si>
  <si>
    <t xml:space="preserve">Owner</t>
  </si>
  <si>
    <t xml:space="preserve">Mohamed Sabry — CEO / Product Owner</t>
  </si>
  <si>
    <t xml:space="preserve">Currency</t>
  </si>
  <si>
    <t xml:space="preserve">EGP (Egyptian Pounds)</t>
  </si>
  <si>
    <t xml:space="preserve">Horizon</t>
  </si>
  <si>
    <t xml:space="preserve">Q2 2026 (May) → Q2 2028  (9 quarters)</t>
  </si>
  <si>
    <t xml:space="preserve">  Workbook Contents</t>
  </si>
  <si>
    <t xml:space="preserve">Assumptions</t>
  </si>
  <si>
    <t xml:space="preserve">Global inputs — benefits loading, quarter→month map</t>
  </si>
  <si>
    <t xml:space="preserve">Team Roster</t>
  </si>
  <si>
    <t xml:space="preserve">All team members with status, start month, rate</t>
  </si>
  <si>
    <t xml:space="preserve">Salary Schedule</t>
  </si>
  <si>
    <t xml:space="preserve">Quarterly salary cost per person (formula-driven)</t>
  </si>
  <si>
    <t xml:space="preserve">Contractors</t>
  </si>
  <si>
    <t xml:space="preserve">Vendor / freelance engagements by quarter</t>
  </si>
  <si>
    <t xml:space="preserve">Software &amp; Infra</t>
  </si>
  <si>
    <t xml:space="preserve">Recurring software, cloud &amp; tooling spend</t>
  </si>
  <si>
    <t xml:space="preserve">Hardware &amp; Setup</t>
  </si>
  <si>
    <t xml:space="preserve">One-off equipment &amp; setup purchases</t>
  </si>
  <si>
    <t xml:space="preserve">Quarterly Summary</t>
  </si>
  <si>
    <t xml:space="preserve">Roll-up of all 4 categories by quarter + totals</t>
  </si>
  <si>
    <t xml:space="preserve">  Colour Legend</t>
  </si>
  <si>
    <t xml:space="preserve">Blue text</t>
  </si>
  <si>
    <t xml:space="preserve">Hardcoded input — change to run scenarios</t>
  </si>
  <si>
    <t xml:space="preserve">Black text</t>
  </si>
  <si>
    <t xml:space="preserve">Formula / calculated value</t>
  </si>
  <si>
    <t xml:space="preserve">Green text</t>
  </si>
  <si>
    <t xml:space="preserve">Cross-sheet reference</t>
  </si>
  <si>
    <t xml:space="preserve">Yellow fill</t>
  </si>
  <si>
    <t xml:space="preserve">Placeholder — needs user input</t>
  </si>
  <si>
    <t xml:space="preserve">  Notes</t>
  </si>
  <si>
    <t xml:space="preserve">• All figures are in EGP unless explicitly stated otherwise.</t>
  </si>
  <si>
    <t xml:space="preserve">• Salaries are shown FULLY LOADED (base + benefits loading from Assumptions).</t>
  </si>
  <si>
    <t xml:space="preserve">• Start months align to Assumptions!Month_Map — month 1 = May 2026.</t>
  </si>
  <si>
    <t xml:space="preserve">• 'TBH' rows are placeholder hires; adjust start month and rate when finalised.</t>
  </si>
  <si>
    <t xml:space="preserve">• Update only the blue input cells — formulas propagate automatically.</t>
  </si>
  <si>
    <t xml:space="preserve">  Assumptions &amp; Inputs</t>
  </si>
  <si>
    <t xml:space="preserve">Key</t>
  </si>
  <si>
    <t xml:space="preserve">Value</t>
  </si>
  <si>
    <t xml:space="preserve">Notes</t>
  </si>
  <si>
    <t xml:space="preserve">Benefits loading (% of base)</t>
  </si>
  <si>
    <t xml:space="preserve">Social insurance, medical, EOS accrual — adjust to company policy</t>
  </si>
  <si>
    <t xml:space="preserve">Annual raise assumption</t>
  </si>
  <si>
    <t xml:space="preserve">Not yet applied in schedule — reserved for future version</t>
  </si>
  <si>
    <t xml:space="preserve">Month 1 anchor</t>
  </si>
  <si>
    <t xml:space="preserve">May 2026</t>
  </si>
  <si>
    <t xml:space="preserve">All StartMonthIdx references count from here</t>
  </si>
  <si>
    <t xml:space="preserve">  Quarter → Month Index Map</t>
  </si>
  <si>
    <t xml:space="preserve">Quarter</t>
  </si>
  <si>
    <t xml:space="preserve">Start Month Idx</t>
  </si>
  <si>
    <t xml:space="preserve">End Month Idx</t>
  </si>
  <si>
    <t xml:space="preserve"># Months</t>
  </si>
  <si>
    <t xml:space="preserve">Period</t>
  </si>
  <si>
    <t xml:space="preserve">Q2 2026</t>
  </si>
  <si>
    <t xml:space="preserve">May–Jun 2026</t>
  </si>
  <si>
    <t xml:space="preserve">Q3 2026</t>
  </si>
  <si>
    <t xml:space="preserve">Jul–Sep 2026</t>
  </si>
  <si>
    <t xml:space="preserve">Q4 2026</t>
  </si>
  <si>
    <t xml:space="preserve">Oct–Dec 2026</t>
  </si>
  <si>
    <t xml:space="preserve">Q1 2027</t>
  </si>
  <si>
    <t xml:space="preserve">Jan–Mar 2027</t>
  </si>
  <si>
    <t xml:space="preserve">Q2 2027</t>
  </si>
  <si>
    <t xml:space="preserve">Apr–Jun 2027</t>
  </si>
  <si>
    <t xml:space="preserve">Q3 2027</t>
  </si>
  <si>
    <t xml:space="preserve">Jul–Sep 2027</t>
  </si>
  <si>
    <t xml:space="preserve">Q4 2027</t>
  </si>
  <si>
    <t xml:space="preserve">Oct–Dec 2027</t>
  </si>
  <si>
    <t xml:space="preserve">Q1 2028</t>
  </si>
  <si>
    <t xml:space="preserve">Jan–Mar 2028</t>
  </si>
  <si>
    <t xml:space="preserve">Q2 2028</t>
  </si>
  <si>
    <t xml:space="preserve">Apr–Jun 2028</t>
  </si>
  <si>
    <t xml:space="preserve">  Team Roster</t>
  </si>
  <si>
    <t xml:space="preserve">#</t>
  </si>
  <si>
    <t xml:space="preserve">Name</t>
  </si>
  <si>
    <t xml:space="preserve">Role</t>
  </si>
  <si>
    <t xml:space="preserve">Status</t>
  </si>
  <si>
    <t xml:space="preserve">Start Period</t>
  </si>
  <si>
    <t xml:space="preserve">Base Monthly (EGP)</t>
  </si>
  <si>
    <t xml:space="preserve">Loaded Monthly (EGP)</t>
  </si>
  <si>
    <t xml:space="preserve">Mohamed Sabry</t>
  </si>
  <si>
    <t xml:space="preserve">CEO / Product Owner</t>
  </si>
  <si>
    <t xml:space="preserve">Active</t>
  </si>
  <si>
    <t xml:space="preserve">Placeholder salary — to be filled</t>
  </si>
  <si>
    <t xml:space="preserve">Khaled Nehad</t>
  </si>
  <si>
    <t xml:space="preserve">CTO</t>
  </si>
  <si>
    <t xml:space="preserve">Rodaina Ehabi</t>
  </si>
  <si>
    <t xml:space="preserve">Egybell Liaison / Delivery Coord.</t>
  </si>
  <si>
    <t xml:space="preserve">Interfaces with Egybell for data collection &amp; sign-off</t>
  </si>
  <si>
    <t xml:space="preserve">Ehab Hafez</t>
  </si>
  <si>
    <t xml:space="preserve">UI/UX Developer</t>
  </si>
  <si>
    <t xml:space="preserve">TBH — Senior FE Developer</t>
  </si>
  <si>
    <t xml:space="preserve">Senior Frontend Developer</t>
  </si>
  <si>
    <t xml:space="preserve">To Be Hired</t>
  </si>
  <si>
    <t xml:space="preserve">Placeholder rate — adjust once offer is finalised</t>
  </si>
  <si>
    <t xml:space="preserve">TBH — Senior BE Developer</t>
  </si>
  <si>
    <t xml:space="preserve">Senior Backend Developer</t>
  </si>
  <si>
    <t xml:space="preserve">TBH — QA Engineer</t>
  </si>
  <si>
    <t xml:space="preserve">QA / Test Engineer</t>
  </si>
  <si>
    <t xml:space="preserve">Placeholder</t>
  </si>
  <si>
    <t xml:space="preserve">Placeholder rate</t>
  </si>
  <si>
    <t xml:space="preserve">TBH — DevOps / Cloud Eng.</t>
  </si>
  <si>
    <t xml:space="preserve">DevOps &amp; Cloud Engineer</t>
  </si>
  <si>
    <t xml:space="preserve">TBH — Mid FE Developer</t>
  </si>
  <si>
    <t xml:space="preserve">Mid Frontend Developer</t>
  </si>
  <si>
    <t xml:space="preserve">Placeholder rate — needed as scope grows</t>
  </si>
  <si>
    <t xml:space="preserve">TBH — Mid BE Developer</t>
  </si>
  <si>
    <t xml:space="preserve">Mid Backend Developer</t>
  </si>
  <si>
    <t xml:space="preserve">TBH — Business Analyst</t>
  </si>
  <si>
    <t xml:space="preserve">Business Analyst</t>
  </si>
  <si>
    <t xml:space="preserve">TBH — Project Manager</t>
  </si>
  <si>
    <t xml:space="preserve">Project Manager / Scrum</t>
  </si>
  <si>
    <t xml:space="preserve">TOTAL MONTHLY (FULLY LOADED)</t>
  </si>
  <si>
    <t xml:space="preserve">  Salary Schedule — Quarterly (EGP, fully loaded)</t>
  </si>
  <si>
    <t xml:space="preserve">Loaded Monthly</t>
  </si>
  <si>
    <t xml:space="preserve">Total</t>
  </si>
  <si>
    <t xml:space="preserve">TOTAL SALARIES</t>
  </si>
  <si>
    <t xml:space="preserve">  Contractors &amp; Vendors — Quarterly (EGP)</t>
  </si>
  <si>
    <t xml:space="preserve">Vendor / Scope</t>
  </si>
  <si>
    <t xml:space="preserve">Duration (months)</t>
  </si>
  <si>
    <t xml:space="preserve">Monthly (EGP)</t>
  </si>
  <si>
    <t xml:space="preserve">Egybell (data collection &amp; sign-off)</t>
  </si>
  <si>
    <t xml:space="preserve">Specialist UX Review (freelance)</t>
  </si>
  <si>
    <t xml:space="preserve">Security / Penetration Testing</t>
  </si>
  <si>
    <t xml:space="preserve">Legal &amp; Compliance (freelance)</t>
  </si>
  <si>
    <t xml:space="preserve">TOTAL CONTRACTORS</t>
  </si>
  <si>
    <t xml:space="preserve">  Software &amp; Infrastructure — Recurring Monthly (EGP)</t>
  </si>
  <si>
    <t xml:space="preserve">Item</t>
  </si>
  <si>
    <t xml:space="preserve">Cloud hosting (AWS/Azure/GCP)</t>
  </si>
  <si>
    <t xml:space="preserve">Database &amp; storage</t>
  </si>
  <si>
    <t xml:space="preserve">GitHub / GitLab team plan</t>
  </si>
  <si>
    <t xml:space="preserve">Figma team licences</t>
  </si>
  <si>
    <t xml:space="preserve">Jira / Linear / project tooling</t>
  </si>
  <si>
    <t xml:space="preserve">Monitoring &amp; observability (Datadog)</t>
  </si>
  <si>
    <t xml:space="preserve">Email, chat &amp; productivity (MS365/GW)</t>
  </si>
  <si>
    <t xml:space="preserve">Security tools (SSO, secrets)</t>
  </si>
  <si>
    <t xml:space="preserve">CI/CD &amp; testing services</t>
  </si>
  <si>
    <t xml:space="preserve">TOTAL SOFTWARE &amp; INFRA</t>
  </si>
  <si>
    <t xml:space="preserve">  Hardware &amp; One-off Setup (EGP)</t>
  </si>
  <si>
    <t xml:space="preserve">Purchase Month Idx</t>
  </si>
  <si>
    <t xml:space="preserve">One-off (EGP)</t>
  </si>
  <si>
    <t xml:space="preserve">Laptops — core team (4)</t>
  </si>
  <si>
    <t xml:space="preserve">Laptops — new hires (2 Senior)</t>
  </si>
  <si>
    <t xml:space="preserve">Laptops — add'l hires (4)</t>
  </si>
  <si>
    <t xml:space="preserve">Monitors &amp; peripherals</t>
  </si>
  <si>
    <t xml:space="preserve">Office / remote setup kit</t>
  </si>
  <si>
    <t xml:space="preserve">Contingency — replacements/expansion</t>
  </si>
  <si>
    <t xml:space="preserve">TOTAL HARDWARE &amp; SETUP</t>
  </si>
  <si>
    <t xml:space="preserve">  Quarterly Summary — All Categories (EGP)</t>
  </si>
  <si>
    <t xml:space="preserve">Category</t>
  </si>
  <si>
    <t xml:space="preserve">Salaries &amp; benefits</t>
  </si>
  <si>
    <t xml:space="preserve">Contractors / vendors</t>
  </si>
  <si>
    <t xml:space="preserve">Software &amp; infra</t>
  </si>
  <si>
    <t xml:space="preserve">Hardware &amp; setup</t>
  </si>
  <si>
    <t xml:space="preserve">GRAND TOTAL</t>
  </si>
  <si>
    <t xml:space="preserve">Cumulative (running total)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</si>
</sst>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_-&quot;EGP &quot;* #,##0_-;_-&quot;EGP &quot;* \(#,##0\);_-&quot;EGP &quot;* \-_-;_-@_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2948"/>
        <bgColor rgb="FF333333"/>
      </patternFill>
    </fill>
    <fill>
      <patternFill patternType="solid">
        <fgColor rgb="FFC89A4A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AF8F3"/>
        <bgColor rgb="FFF5F1E8"/>
      </patternFill>
    </fill>
    <fill>
      <patternFill patternType="solid">
        <fgColor rgb="FFF5F1E8"/>
        <bgColor rgb="FFFAF8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2B4"/>
      </left>
      <right style="thin">
        <color rgb="FFC8C2B4"/>
      </right>
      <top style="thin">
        <color rgb="FFC8C2B4"/>
      </top>
      <bottom style="thin">
        <color rgb="FFC8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2B4"/>
      <rgbColor rgb="FF808080"/>
      <rgbColor rgb="FF9999FF"/>
      <rgbColor rgb="FF993366"/>
      <rgbColor rgb="FFFAF8F3"/>
      <rgbColor rgb="FFF5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9A4A"/>
      <rgbColor rgb="FF0B29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21.75" hidden="false" customHeight="true" outlineLevel="0" collapsed="false">
      <c r="A10" s="4" t="s">
        <v>13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9" customFormat="false" ht="21.75" hidden="false" customHeight="true" outlineLevel="0" collapsed="false">
      <c r="A19" s="4" t="s">
        <v>28</v>
      </c>
      <c r="B19" s="4"/>
      <c r="C19" s="4"/>
      <c r="D19" s="4"/>
      <c r="E19" s="4"/>
      <c r="F19" s="4"/>
    </row>
    <row r="20" customFormat="false" ht="15" hidden="false" customHeight="false" outlineLevel="0" collapsed="false">
      <c r="A20" s="5" t="s">
        <v>29</v>
      </c>
      <c r="B20" s="3" t="s">
        <v>30</v>
      </c>
    </row>
    <row r="21" customFormat="false" ht="15" hidden="false" customHeight="false" outlineLevel="0" collapsed="false">
      <c r="A21" s="3" t="s">
        <v>31</v>
      </c>
      <c r="B21" s="3" t="s">
        <v>32</v>
      </c>
    </row>
    <row r="22" customFormat="false" ht="15" hidden="false" customHeight="false" outlineLevel="0" collapsed="false">
      <c r="A22" s="6" t="s">
        <v>33</v>
      </c>
      <c r="B22" s="3" t="s">
        <v>34</v>
      </c>
    </row>
    <row r="23" customFormat="false" ht="15" hidden="false" customHeight="false" outlineLevel="0" collapsed="false">
      <c r="A23" s="7" t="s">
        <v>35</v>
      </c>
      <c r="B23" s="3" t="s">
        <v>36</v>
      </c>
    </row>
    <row r="25" customFormat="false" ht="21.75" hidden="false" customHeight="true" outlineLevel="0" collapsed="false">
      <c r="A25" s="4" t="s">
        <v>37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8" t="s">
        <v>38</v>
      </c>
      <c r="B26" s="8"/>
      <c r="C26" s="8"/>
      <c r="D26" s="8"/>
      <c r="E26" s="8"/>
      <c r="F26" s="8"/>
    </row>
    <row r="27" customFormat="false" ht="15" hidden="false" customHeight="false" outlineLevel="0" collapsed="false">
      <c r="A27" s="8" t="s">
        <v>39</v>
      </c>
      <c r="B27" s="8"/>
      <c r="C27" s="8"/>
      <c r="D27" s="8"/>
      <c r="E27" s="8"/>
      <c r="F27" s="8"/>
    </row>
    <row r="28" customFormat="false" ht="15" hidden="false" customHeight="false" outlineLevel="0" collapsed="false">
      <c r="A28" s="8" t="s">
        <v>40</v>
      </c>
      <c r="B28" s="8"/>
      <c r="C28" s="8"/>
      <c r="D28" s="8"/>
      <c r="E28" s="8"/>
      <c r="F28" s="8"/>
    </row>
    <row r="29" customFormat="false" ht="15" hidden="false" customHeight="false" outlineLevel="0" collapsed="false">
      <c r="A29" s="8" t="s">
        <v>41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8" t="s">
        <v>42</v>
      </c>
      <c r="B30" s="8"/>
      <c r="C30" s="8"/>
      <c r="D30" s="8"/>
      <c r="E30" s="8"/>
      <c r="F30" s="8"/>
    </row>
  </sheetData>
  <mergeCells count="9">
    <mergeCell ref="A1:F1"/>
    <mergeCell ref="A10:F10"/>
    <mergeCell ref="A19:F19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43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44</v>
      </c>
      <c r="B3" s="9" t="s">
        <v>45</v>
      </c>
      <c r="C3" s="9" t="s">
        <v>46</v>
      </c>
    </row>
    <row r="4" customFormat="false" ht="15" hidden="false" customHeight="false" outlineLevel="0" collapsed="false">
      <c r="A4" s="3" t="s">
        <v>47</v>
      </c>
      <c r="B4" s="10" t="n">
        <v>0.2</v>
      </c>
      <c r="C4" s="3" t="s">
        <v>48</v>
      </c>
    </row>
    <row r="5" customFormat="false" ht="15" hidden="false" customHeight="false" outlineLevel="0" collapsed="false">
      <c r="A5" s="3" t="s">
        <v>49</v>
      </c>
      <c r="B5" s="10" t="n">
        <v>0.1</v>
      </c>
      <c r="C5" s="3" t="s">
        <v>50</v>
      </c>
    </row>
    <row r="6" customFormat="false" ht="15" hidden="false" customHeight="false" outlineLevel="0" collapsed="false">
      <c r="A6" s="3" t="s">
        <v>51</v>
      </c>
      <c r="B6" s="5" t="s">
        <v>52</v>
      </c>
      <c r="C6" s="3" t="s">
        <v>53</v>
      </c>
    </row>
    <row r="8" customFormat="false" ht="21.75" hidden="false" customHeight="true" outlineLevel="0" collapsed="false">
      <c r="A8" s="4" t="s">
        <v>54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11" t="s">
        <v>55</v>
      </c>
      <c r="B9" s="11" t="s">
        <v>56</v>
      </c>
      <c r="C9" s="11" t="s">
        <v>57</v>
      </c>
      <c r="D9" s="11" t="s">
        <v>58</v>
      </c>
      <c r="E9" s="11" t="s">
        <v>59</v>
      </c>
    </row>
    <row r="10" customFormat="false" ht="15" hidden="false" customHeight="false" outlineLevel="0" collapsed="false">
      <c r="A10" s="12" t="s">
        <v>60</v>
      </c>
      <c r="B10" s="13" t="n">
        <v>1</v>
      </c>
      <c r="C10" s="13" t="n">
        <v>2</v>
      </c>
      <c r="D10" s="14" t="n">
        <f aca="false">C10-B10+1</f>
        <v>2</v>
      </c>
      <c r="E10" s="15" t="s">
        <v>61</v>
      </c>
    </row>
    <row r="11" customFormat="false" ht="15" hidden="false" customHeight="false" outlineLevel="0" collapsed="false">
      <c r="A11" s="12" t="s">
        <v>62</v>
      </c>
      <c r="B11" s="13" t="n">
        <v>3</v>
      </c>
      <c r="C11" s="13" t="n">
        <v>5</v>
      </c>
      <c r="D11" s="14" t="n">
        <f aca="false">C11-B11+1</f>
        <v>3</v>
      </c>
      <c r="E11" s="15" t="s">
        <v>63</v>
      </c>
    </row>
    <row r="12" customFormat="false" ht="15" hidden="false" customHeight="false" outlineLevel="0" collapsed="false">
      <c r="A12" s="12" t="s">
        <v>64</v>
      </c>
      <c r="B12" s="13" t="n">
        <v>6</v>
      </c>
      <c r="C12" s="13" t="n">
        <v>8</v>
      </c>
      <c r="D12" s="14" t="n">
        <f aca="false">C12-B12+1</f>
        <v>3</v>
      </c>
      <c r="E12" s="15" t="s">
        <v>65</v>
      </c>
    </row>
    <row r="13" customFormat="false" ht="15" hidden="false" customHeight="false" outlineLevel="0" collapsed="false">
      <c r="A13" s="12" t="s">
        <v>66</v>
      </c>
      <c r="B13" s="13" t="n">
        <v>9</v>
      </c>
      <c r="C13" s="13" t="n">
        <v>11</v>
      </c>
      <c r="D13" s="14" t="n">
        <f aca="false">C13-B13+1</f>
        <v>3</v>
      </c>
      <c r="E13" s="15" t="s">
        <v>67</v>
      </c>
    </row>
    <row r="14" customFormat="false" ht="15" hidden="false" customHeight="false" outlineLevel="0" collapsed="false">
      <c r="A14" s="12" t="s">
        <v>68</v>
      </c>
      <c r="B14" s="13" t="n">
        <v>12</v>
      </c>
      <c r="C14" s="13" t="n">
        <v>14</v>
      </c>
      <c r="D14" s="14" t="n">
        <f aca="false">C14-B14+1</f>
        <v>3</v>
      </c>
      <c r="E14" s="15" t="s">
        <v>69</v>
      </c>
    </row>
    <row r="15" customFormat="false" ht="15" hidden="false" customHeight="false" outlineLevel="0" collapsed="false">
      <c r="A15" s="12" t="s">
        <v>70</v>
      </c>
      <c r="B15" s="13" t="n">
        <v>15</v>
      </c>
      <c r="C15" s="13" t="n">
        <v>17</v>
      </c>
      <c r="D15" s="14" t="n">
        <f aca="false">C15-B15+1</f>
        <v>3</v>
      </c>
      <c r="E15" s="15" t="s">
        <v>71</v>
      </c>
    </row>
    <row r="16" customFormat="false" ht="15" hidden="false" customHeight="false" outlineLevel="0" collapsed="false">
      <c r="A16" s="12" t="s">
        <v>72</v>
      </c>
      <c r="B16" s="13" t="n">
        <v>18</v>
      </c>
      <c r="C16" s="13" t="n">
        <v>20</v>
      </c>
      <c r="D16" s="14" t="n">
        <f aca="false">C16-B16+1</f>
        <v>3</v>
      </c>
      <c r="E16" s="15" t="s">
        <v>73</v>
      </c>
    </row>
    <row r="17" customFormat="false" ht="15" hidden="false" customHeight="false" outlineLevel="0" collapsed="false">
      <c r="A17" s="12" t="s">
        <v>74</v>
      </c>
      <c r="B17" s="13" t="n">
        <v>21</v>
      </c>
      <c r="C17" s="13" t="n">
        <v>23</v>
      </c>
      <c r="D17" s="14" t="n">
        <f aca="false">C17-B17+1</f>
        <v>3</v>
      </c>
      <c r="E17" s="15" t="s">
        <v>75</v>
      </c>
    </row>
    <row r="18" customFormat="false" ht="15" hidden="false" customHeight="false" outlineLevel="0" collapsed="false">
      <c r="A18" s="12" t="s">
        <v>76</v>
      </c>
      <c r="B18" s="13" t="n">
        <v>24</v>
      </c>
      <c r="C18" s="13" t="n">
        <v>26</v>
      </c>
      <c r="D18" s="14" t="n">
        <f aca="false">C18-B18+1</f>
        <v>3</v>
      </c>
      <c r="E18" s="15" t="s">
        <v>77</v>
      </c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50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11" t="s">
        <v>79</v>
      </c>
      <c r="B3" s="11" t="s">
        <v>80</v>
      </c>
      <c r="C3" s="11" t="s">
        <v>81</v>
      </c>
      <c r="D3" s="11" t="s">
        <v>82</v>
      </c>
      <c r="E3" s="11" t="s">
        <v>56</v>
      </c>
      <c r="F3" s="11" t="s">
        <v>83</v>
      </c>
      <c r="G3" s="11" t="s">
        <v>84</v>
      </c>
      <c r="H3" s="11" t="s">
        <v>85</v>
      </c>
      <c r="I3" s="11" t="s">
        <v>46</v>
      </c>
    </row>
    <row r="4" customFormat="false" ht="21.75" hidden="false" customHeight="true" outlineLevel="0" collapsed="false">
      <c r="A4" s="14" t="n">
        <v>1</v>
      </c>
      <c r="B4" s="16" t="s">
        <v>86</v>
      </c>
      <c r="C4" s="16" t="s">
        <v>87</v>
      </c>
      <c r="D4" s="16" t="s">
        <v>88</v>
      </c>
      <c r="E4" s="17" t="n">
        <v>1</v>
      </c>
      <c r="F4" s="18" t="str">
        <f aca="false">IFERROR(INDEX(Assumptions!$A$10:$A$18, MATCH(1, (Assumptions!$B$10:$B$18&lt;=E4)*(Assumptions!$C$10:$C$18&gt;=E4), 0)), "—")</f>
        <v>Q2 2026</v>
      </c>
      <c r="G4" s="19" t="n">
        <v>0</v>
      </c>
      <c r="H4" s="20" t="n">
        <f aca="false">G4*(1+Assumptions!$B$4)</f>
        <v>0</v>
      </c>
      <c r="I4" s="16" t="s">
        <v>89</v>
      </c>
    </row>
    <row r="5" customFormat="false" ht="21.75" hidden="false" customHeight="true" outlineLevel="0" collapsed="false">
      <c r="A5" s="21" t="n">
        <v>2</v>
      </c>
      <c r="B5" s="22" t="s">
        <v>90</v>
      </c>
      <c r="C5" s="22" t="s">
        <v>91</v>
      </c>
      <c r="D5" s="22" t="s">
        <v>88</v>
      </c>
      <c r="E5" s="17" t="n">
        <v>1</v>
      </c>
      <c r="F5" s="23" t="str">
        <f aca="false">IFERROR(INDEX(Assumptions!$A$10:$A$18, MATCH(1, (Assumptions!$B$10:$B$18&lt;=E5)*(Assumptions!$C$10:$C$18&gt;=E5), 0)), "—")</f>
        <v>Q2 2026</v>
      </c>
      <c r="G5" s="24" t="n">
        <v>0</v>
      </c>
      <c r="H5" s="25" t="n">
        <f aca="false">G5*(1+Assumptions!$B$4)</f>
        <v>0</v>
      </c>
      <c r="I5" s="22" t="s">
        <v>89</v>
      </c>
    </row>
    <row r="6" customFormat="false" ht="21.75" hidden="false" customHeight="true" outlineLevel="0" collapsed="false">
      <c r="A6" s="14" t="n">
        <v>3</v>
      </c>
      <c r="B6" s="16" t="s">
        <v>92</v>
      </c>
      <c r="C6" s="16" t="s">
        <v>93</v>
      </c>
      <c r="D6" s="16" t="s">
        <v>88</v>
      </c>
      <c r="E6" s="13" t="n">
        <v>1</v>
      </c>
      <c r="F6" s="18" t="str">
        <f aca="false">IFERROR(INDEX(Assumptions!$A$10:$A$18, MATCH(1, (Assumptions!$B$10:$B$18&lt;=E6)*(Assumptions!$C$10:$C$18&gt;=E6), 0)), "—")</f>
        <v>Q2 2026</v>
      </c>
      <c r="G6" s="26" t="n">
        <v>10000</v>
      </c>
      <c r="H6" s="20" t="n">
        <f aca="false">G6*(1+Assumptions!$B$4)</f>
        <v>12000</v>
      </c>
      <c r="I6" s="16" t="s">
        <v>94</v>
      </c>
    </row>
    <row r="7" customFormat="false" ht="21.75" hidden="false" customHeight="true" outlineLevel="0" collapsed="false">
      <c r="A7" s="21" t="n">
        <v>4</v>
      </c>
      <c r="B7" s="22" t="s">
        <v>95</v>
      </c>
      <c r="C7" s="22" t="s">
        <v>96</v>
      </c>
      <c r="D7" s="22" t="s">
        <v>88</v>
      </c>
      <c r="E7" s="27" t="n">
        <v>1</v>
      </c>
      <c r="F7" s="23" t="str">
        <f aca="false">IFERROR(INDEX(Assumptions!$A$10:$A$18, MATCH(1, (Assumptions!$B$10:$B$18&lt;=E7)*(Assumptions!$C$10:$C$18&gt;=E7), 0)), "—")</f>
        <v>Q2 2026</v>
      </c>
      <c r="G7" s="24" t="n">
        <v>30000</v>
      </c>
      <c r="H7" s="25" t="n">
        <f aca="false">G7*(1+Assumptions!$B$4)</f>
        <v>36000</v>
      </c>
      <c r="I7" s="22"/>
    </row>
    <row r="8" customFormat="false" ht="21.75" hidden="false" customHeight="true" outlineLevel="0" collapsed="false">
      <c r="A8" s="14" t="n">
        <v>5</v>
      </c>
      <c r="B8" s="16" t="s">
        <v>97</v>
      </c>
      <c r="C8" s="16" t="s">
        <v>98</v>
      </c>
      <c r="D8" s="16" t="s">
        <v>99</v>
      </c>
      <c r="E8" s="17" t="n">
        <v>3</v>
      </c>
      <c r="F8" s="18" t="str">
        <f aca="false">IFERROR(INDEX(Assumptions!$A$10:$A$18, MATCH(1, (Assumptions!$B$10:$B$18&lt;=E8)*(Assumptions!$C$10:$C$18&gt;=E8), 0)), "—")</f>
        <v>Q3 2026</v>
      </c>
      <c r="G8" s="26" t="n">
        <v>55000</v>
      </c>
      <c r="H8" s="20" t="n">
        <f aca="false">G8*(1+Assumptions!$B$4)</f>
        <v>66000</v>
      </c>
      <c r="I8" s="16" t="s">
        <v>100</v>
      </c>
    </row>
    <row r="9" customFormat="false" ht="21.75" hidden="false" customHeight="true" outlineLevel="0" collapsed="false">
      <c r="A9" s="21" t="n">
        <v>6</v>
      </c>
      <c r="B9" s="22" t="s">
        <v>101</v>
      </c>
      <c r="C9" s="22" t="s">
        <v>102</v>
      </c>
      <c r="D9" s="22" t="s">
        <v>99</v>
      </c>
      <c r="E9" s="17" t="n">
        <v>3</v>
      </c>
      <c r="F9" s="23" t="str">
        <f aca="false">IFERROR(INDEX(Assumptions!$A$10:$A$18, MATCH(1, (Assumptions!$B$10:$B$18&lt;=E9)*(Assumptions!$C$10:$C$18&gt;=E9), 0)), "—")</f>
        <v>Q3 2026</v>
      </c>
      <c r="G9" s="24" t="n">
        <v>60000</v>
      </c>
      <c r="H9" s="25" t="n">
        <f aca="false">G9*(1+Assumptions!$B$4)</f>
        <v>72000</v>
      </c>
      <c r="I9" s="22" t="s">
        <v>100</v>
      </c>
    </row>
    <row r="10" customFormat="false" ht="21.75" hidden="false" customHeight="true" outlineLevel="0" collapsed="false">
      <c r="A10" s="14" t="n">
        <v>7</v>
      </c>
      <c r="B10" s="16" t="s">
        <v>103</v>
      </c>
      <c r="C10" s="16" t="s">
        <v>104</v>
      </c>
      <c r="D10" s="16" t="s">
        <v>105</v>
      </c>
      <c r="E10" s="17" t="n">
        <v>4</v>
      </c>
      <c r="F10" s="18" t="str">
        <f aca="false">IFERROR(INDEX(Assumptions!$A$10:$A$18, MATCH(1, (Assumptions!$B$10:$B$18&lt;=E10)*(Assumptions!$C$10:$C$18&gt;=E10), 0)), "—")</f>
        <v>Q3 2026</v>
      </c>
      <c r="G10" s="26" t="n">
        <v>30000</v>
      </c>
      <c r="H10" s="20" t="n">
        <f aca="false">G10*(1+Assumptions!$B$4)</f>
        <v>36000</v>
      </c>
      <c r="I10" s="16" t="s">
        <v>106</v>
      </c>
    </row>
    <row r="11" customFormat="false" ht="21.75" hidden="false" customHeight="true" outlineLevel="0" collapsed="false">
      <c r="A11" s="21" t="n">
        <v>8</v>
      </c>
      <c r="B11" s="22" t="s">
        <v>107</v>
      </c>
      <c r="C11" s="22" t="s">
        <v>108</v>
      </c>
      <c r="D11" s="22" t="s">
        <v>105</v>
      </c>
      <c r="E11" s="17" t="n">
        <v>3</v>
      </c>
      <c r="F11" s="23" t="str">
        <f aca="false">IFERROR(INDEX(Assumptions!$A$10:$A$18, MATCH(1, (Assumptions!$B$10:$B$18&lt;=E11)*(Assumptions!$C$10:$C$18&gt;=E11), 0)), "—")</f>
        <v>Q3 2026</v>
      </c>
      <c r="G11" s="24" t="n">
        <v>50000</v>
      </c>
      <c r="H11" s="25" t="n">
        <f aca="false">G11*(1+Assumptions!$B$4)</f>
        <v>60000</v>
      </c>
      <c r="I11" s="22" t="s">
        <v>106</v>
      </c>
    </row>
    <row r="12" customFormat="false" ht="21.75" hidden="false" customHeight="true" outlineLevel="0" collapsed="false">
      <c r="A12" s="14" t="n">
        <v>9</v>
      </c>
      <c r="B12" s="16" t="s">
        <v>109</v>
      </c>
      <c r="C12" s="16" t="s">
        <v>110</v>
      </c>
      <c r="D12" s="16" t="s">
        <v>105</v>
      </c>
      <c r="E12" s="17" t="n">
        <v>6</v>
      </c>
      <c r="F12" s="18" t="str">
        <f aca="false">IFERROR(INDEX(Assumptions!$A$10:$A$18, MATCH(1, (Assumptions!$B$10:$B$18&lt;=E12)*(Assumptions!$C$10:$C$18&gt;=E12), 0)), "—")</f>
        <v>Q4 2026</v>
      </c>
      <c r="G12" s="26" t="n">
        <v>35000</v>
      </c>
      <c r="H12" s="20" t="n">
        <f aca="false">G12*(1+Assumptions!$B$4)</f>
        <v>42000</v>
      </c>
      <c r="I12" s="16" t="s">
        <v>111</v>
      </c>
    </row>
    <row r="13" customFormat="false" ht="21.75" hidden="false" customHeight="true" outlineLevel="0" collapsed="false">
      <c r="A13" s="21" t="n">
        <v>10</v>
      </c>
      <c r="B13" s="22" t="s">
        <v>112</v>
      </c>
      <c r="C13" s="22" t="s">
        <v>113</v>
      </c>
      <c r="D13" s="22" t="s">
        <v>105</v>
      </c>
      <c r="E13" s="17" t="n">
        <v>6</v>
      </c>
      <c r="F13" s="23" t="str">
        <f aca="false">IFERROR(INDEX(Assumptions!$A$10:$A$18, MATCH(1, (Assumptions!$B$10:$B$18&lt;=E13)*(Assumptions!$C$10:$C$18&gt;=E13), 0)), "—")</f>
        <v>Q4 2026</v>
      </c>
      <c r="G13" s="24" t="n">
        <v>38000</v>
      </c>
      <c r="H13" s="25" t="n">
        <f aca="false">G13*(1+Assumptions!$B$4)</f>
        <v>45600</v>
      </c>
      <c r="I13" s="22" t="s">
        <v>111</v>
      </c>
    </row>
    <row r="14" customFormat="false" ht="21.75" hidden="false" customHeight="true" outlineLevel="0" collapsed="false">
      <c r="A14" s="14" t="n">
        <v>11</v>
      </c>
      <c r="B14" s="16" t="s">
        <v>114</v>
      </c>
      <c r="C14" s="16" t="s">
        <v>115</v>
      </c>
      <c r="D14" s="16" t="s">
        <v>105</v>
      </c>
      <c r="E14" s="17" t="n">
        <v>1</v>
      </c>
      <c r="F14" s="18" t="str">
        <f aca="false">IFERROR(INDEX(Assumptions!$A$10:$A$18, MATCH(1, (Assumptions!$B$10:$B$18&lt;=E14)*(Assumptions!$C$10:$C$18&gt;=E14), 0)), "—")</f>
        <v>Q2 2026</v>
      </c>
      <c r="G14" s="26" t="n">
        <v>25000</v>
      </c>
      <c r="H14" s="20" t="n">
        <f aca="false">G14*(1+Assumptions!$B$4)</f>
        <v>30000</v>
      </c>
      <c r="I14" s="16" t="s">
        <v>106</v>
      </c>
    </row>
    <row r="15" customFormat="false" ht="21.75" hidden="false" customHeight="true" outlineLevel="0" collapsed="false">
      <c r="A15" s="21" t="n">
        <v>12</v>
      </c>
      <c r="B15" s="22" t="s">
        <v>116</v>
      </c>
      <c r="C15" s="22" t="s">
        <v>117</v>
      </c>
      <c r="D15" s="22" t="s">
        <v>105</v>
      </c>
      <c r="E15" s="17" t="n">
        <v>1</v>
      </c>
      <c r="F15" s="23" t="str">
        <f aca="false">IFERROR(INDEX(Assumptions!$A$10:$A$18, MATCH(1, (Assumptions!$B$10:$B$18&lt;=E15)*(Assumptions!$C$10:$C$18&gt;=E15), 0)), "—")</f>
        <v>Q2 2026</v>
      </c>
      <c r="G15" s="24" t="n">
        <v>40000</v>
      </c>
      <c r="H15" s="25" t="n">
        <f aca="false">G15*(1+Assumptions!$B$4)</f>
        <v>48000</v>
      </c>
      <c r="I15" s="22" t="s">
        <v>106</v>
      </c>
    </row>
    <row r="17" customFormat="false" ht="15" hidden="false" customHeight="false" outlineLevel="0" collapsed="false">
      <c r="A17" s="28"/>
      <c r="B17" s="29" t="s">
        <v>118</v>
      </c>
      <c r="C17" s="28"/>
      <c r="D17" s="28"/>
      <c r="E17" s="28"/>
      <c r="F17" s="28"/>
      <c r="G17" s="30" t="n">
        <f aca="false">SUM(G4:G15)</f>
        <v>373000</v>
      </c>
      <c r="H17" s="30" t="n">
        <f aca="false">SUM(H4:H15)</f>
        <v>447600</v>
      </c>
      <c r="I17" s="28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12" min="4" style="0" width="15"/>
    <col collapsed="false" customWidth="true" hidden="false" outlineLevel="0" max="13" min="13" style="0" width="18"/>
  </cols>
  <sheetData>
    <row r="1" customFormat="false" ht="27.7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11" t="s">
        <v>79</v>
      </c>
      <c r="B3" s="11" t="s">
        <v>80</v>
      </c>
      <c r="C3" s="11" t="s">
        <v>120</v>
      </c>
      <c r="D3" s="11" t="s">
        <v>60</v>
      </c>
      <c r="E3" s="11" t="s">
        <v>62</v>
      </c>
      <c r="F3" s="11" t="s">
        <v>64</v>
      </c>
      <c r="G3" s="11" t="s">
        <v>66</v>
      </c>
      <c r="H3" s="11" t="s">
        <v>68</v>
      </c>
      <c r="I3" s="11" t="s">
        <v>70</v>
      </c>
      <c r="J3" s="11" t="s">
        <v>72</v>
      </c>
      <c r="K3" s="11" t="s">
        <v>74</v>
      </c>
      <c r="L3" s="11" t="s">
        <v>76</v>
      </c>
      <c r="M3" s="11" t="s">
        <v>121</v>
      </c>
    </row>
    <row r="4" customFormat="false" ht="15" hidden="false" customHeight="false" outlineLevel="0" collapsed="false">
      <c r="A4" s="14" t="n">
        <v>1</v>
      </c>
      <c r="B4" s="16" t="s">
        <v>86</v>
      </c>
      <c r="C4" s="20" t="n">
        <f aca="false">'Team Roster'!H4</f>
        <v>0</v>
      </c>
      <c r="D4" s="31" t="n">
        <f aca="false">MAX(0, MIN(2, 999) - MAX(1, 'Team Roster'!E4) + 1) * C4</f>
        <v>0</v>
      </c>
      <c r="E4" s="31" t="n">
        <f aca="false">MAX(0, MIN(5, 999) - MAX(3, 'Team Roster'!E4) + 1) * C4</f>
        <v>0</v>
      </c>
      <c r="F4" s="31" t="n">
        <f aca="false">MAX(0, MIN(8, 999) - MAX(6, 'Team Roster'!E4) + 1) * C4</f>
        <v>0</v>
      </c>
      <c r="G4" s="31" t="n">
        <f aca="false">MAX(0, MIN(11, 999) - MAX(9, 'Team Roster'!E4) + 1) * C4</f>
        <v>0</v>
      </c>
      <c r="H4" s="31" t="n">
        <f aca="false">MAX(0, MIN(14, 999) - MAX(12, 'Team Roster'!E4) + 1) * C4</f>
        <v>0</v>
      </c>
      <c r="I4" s="31" t="n">
        <f aca="false">MAX(0, MIN(17, 999) - MAX(15, 'Team Roster'!E4) + 1) * C4</f>
        <v>0</v>
      </c>
      <c r="J4" s="31" t="n">
        <f aca="false">MAX(0, MIN(20, 999) - MAX(18, 'Team Roster'!E4) + 1) * C4</f>
        <v>0</v>
      </c>
      <c r="K4" s="31" t="n">
        <f aca="false">MAX(0, MIN(23, 999) - MAX(21, 'Team Roster'!E4) + 1) * C4</f>
        <v>0</v>
      </c>
      <c r="L4" s="31" t="n">
        <f aca="false">MAX(0, MIN(26, 999) - MAX(24, 'Team Roster'!E4) + 1) * C4</f>
        <v>0</v>
      </c>
      <c r="M4" s="32" t="n">
        <f aca="false">SUM(D4:L4)</f>
        <v>0</v>
      </c>
    </row>
    <row r="5" customFormat="false" ht="15" hidden="false" customHeight="false" outlineLevel="0" collapsed="false">
      <c r="A5" s="21" t="n">
        <v>2</v>
      </c>
      <c r="B5" s="22" t="s">
        <v>90</v>
      </c>
      <c r="C5" s="25" t="n">
        <f aca="false">'Team Roster'!H5</f>
        <v>0</v>
      </c>
      <c r="D5" s="33" t="n">
        <f aca="false">MAX(0, MIN(2, 999) - MAX(1, 'Team Roster'!E5) + 1) * C5</f>
        <v>0</v>
      </c>
      <c r="E5" s="33" t="n">
        <f aca="false">MAX(0, MIN(5, 999) - MAX(3, 'Team Roster'!E5) + 1) * C5</f>
        <v>0</v>
      </c>
      <c r="F5" s="33" t="n">
        <f aca="false">MAX(0, MIN(8, 999) - MAX(6, 'Team Roster'!E5) + 1) * C5</f>
        <v>0</v>
      </c>
      <c r="G5" s="33" t="n">
        <f aca="false">MAX(0, MIN(11, 999) - MAX(9, 'Team Roster'!E5) + 1) * C5</f>
        <v>0</v>
      </c>
      <c r="H5" s="33" t="n">
        <f aca="false">MAX(0, MIN(14, 999) - MAX(12, 'Team Roster'!E5) + 1) * C5</f>
        <v>0</v>
      </c>
      <c r="I5" s="33" t="n">
        <f aca="false">MAX(0, MIN(17, 999) - MAX(15, 'Team Roster'!E5) + 1) * C5</f>
        <v>0</v>
      </c>
      <c r="J5" s="33" t="n">
        <f aca="false">MAX(0, MIN(20, 999) - MAX(18, 'Team Roster'!E5) + 1) * C5</f>
        <v>0</v>
      </c>
      <c r="K5" s="33" t="n">
        <f aca="false">MAX(0, MIN(23, 999) - MAX(21, 'Team Roster'!E5) + 1) * C5</f>
        <v>0</v>
      </c>
      <c r="L5" s="33" t="n">
        <f aca="false">MAX(0, MIN(26, 999) - MAX(24, 'Team Roster'!E5) + 1) * C5</f>
        <v>0</v>
      </c>
      <c r="M5" s="34" t="n">
        <f aca="false">SUM(D5:L5)</f>
        <v>0</v>
      </c>
    </row>
    <row r="6" customFormat="false" ht="15" hidden="false" customHeight="false" outlineLevel="0" collapsed="false">
      <c r="A6" s="14" t="n">
        <v>3</v>
      </c>
      <c r="B6" s="16" t="s">
        <v>92</v>
      </c>
      <c r="C6" s="20" t="n">
        <f aca="false">'Team Roster'!H6</f>
        <v>12000</v>
      </c>
      <c r="D6" s="31" t="n">
        <f aca="false">MAX(0, MIN(2, 999) - MAX(1, 'Team Roster'!E6) + 1) * C6</f>
        <v>24000</v>
      </c>
      <c r="E6" s="31" t="n">
        <f aca="false">MAX(0, MIN(5, 999) - MAX(3, 'Team Roster'!E6) + 1) * C6</f>
        <v>36000</v>
      </c>
      <c r="F6" s="31" t="n">
        <f aca="false">MAX(0, MIN(8, 999) - MAX(6, 'Team Roster'!E6) + 1) * C6</f>
        <v>36000</v>
      </c>
      <c r="G6" s="31" t="n">
        <f aca="false">MAX(0, MIN(11, 999) - MAX(9, 'Team Roster'!E6) + 1) * C6</f>
        <v>36000</v>
      </c>
      <c r="H6" s="31" t="n">
        <f aca="false">MAX(0, MIN(14, 999) - MAX(12, 'Team Roster'!E6) + 1) * C6</f>
        <v>36000</v>
      </c>
      <c r="I6" s="31" t="n">
        <f aca="false">MAX(0, MIN(17, 999) - MAX(15, 'Team Roster'!E6) + 1) * C6</f>
        <v>36000</v>
      </c>
      <c r="J6" s="31" t="n">
        <f aca="false">MAX(0, MIN(20, 999) - MAX(18, 'Team Roster'!E6) + 1) * C6</f>
        <v>36000</v>
      </c>
      <c r="K6" s="31" t="n">
        <f aca="false">MAX(0, MIN(23, 999) - MAX(21, 'Team Roster'!E6) + 1) * C6</f>
        <v>36000</v>
      </c>
      <c r="L6" s="31" t="n">
        <f aca="false">MAX(0, MIN(26, 999) - MAX(24, 'Team Roster'!E6) + 1) * C6</f>
        <v>36000</v>
      </c>
      <c r="M6" s="32" t="n">
        <f aca="false">SUM(D6:L6)</f>
        <v>312000</v>
      </c>
    </row>
    <row r="7" customFormat="false" ht="15" hidden="false" customHeight="false" outlineLevel="0" collapsed="false">
      <c r="A7" s="21" t="n">
        <v>4</v>
      </c>
      <c r="B7" s="22" t="s">
        <v>95</v>
      </c>
      <c r="C7" s="25" t="n">
        <f aca="false">'Team Roster'!H7</f>
        <v>36000</v>
      </c>
      <c r="D7" s="33" t="n">
        <f aca="false">MAX(0, MIN(2, 999) - MAX(1, 'Team Roster'!E7) + 1) * C7</f>
        <v>72000</v>
      </c>
      <c r="E7" s="33" t="n">
        <f aca="false">MAX(0, MIN(5, 999) - MAX(3, 'Team Roster'!E7) + 1) * C7</f>
        <v>108000</v>
      </c>
      <c r="F7" s="33" t="n">
        <f aca="false">MAX(0, MIN(8, 999) - MAX(6, 'Team Roster'!E7) + 1) * C7</f>
        <v>108000</v>
      </c>
      <c r="G7" s="33" t="n">
        <f aca="false">MAX(0, MIN(11, 999) - MAX(9, 'Team Roster'!E7) + 1) * C7</f>
        <v>108000</v>
      </c>
      <c r="H7" s="33" t="n">
        <f aca="false">MAX(0, MIN(14, 999) - MAX(12, 'Team Roster'!E7) + 1) * C7</f>
        <v>108000</v>
      </c>
      <c r="I7" s="33" t="n">
        <f aca="false">MAX(0, MIN(17, 999) - MAX(15, 'Team Roster'!E7) + 1) * C7</f>
        <v>108000</v>
      </c>
      <c r="J7" s="33" t="n">
        <f aca="false">MAX(0, MIN(20, 999) - MAX(18, 'Team Roster'!E7) + 1) * C7</f>
        <v>108000</v>
      </c>
      <c r="K7" s="33" t="n">
        <f aca="false">MAX(0, MIN(23, 999) - MAX(21, 'Team Roster'!E7) + 1) * C7</f>
        <v>108000</v>
      </c>
      <c r="L7" s="33" t="n">
        <f aca="false">MAX(0, MIN(26, 999) - MAX(24, 'Team Roster'!E7) + 1) * C7</f>
        <v>108000</v>
      </c>
      <c r="M7" s="34" t="n">
        <f aca="false">SUM(D7:L7)</f>
        <v>936000</v>
      </c>
    </row>
    <row r="8" customFormat="false" ht="15" hidden="false" customHeight="false" outlineLevel="0" collapsed="false">
      <c r="A8" s="14" t="n">
        <v>5</v>
      </c>
      <c r="B8" s="16" t="s">
        <v>97</v>
      </c>
      <c r="C8" s="20" t="n">
        <f aca="false">'Team Roster'!H8</f>
        <v>66000</v>
      </c>
      <c r="D8" s="31" t="n">
        <f aca="false">MAX(0, MIN(2, 999) - MAX(1, 'Team Roster'!E8) + 1) * C8</f>
        <v>0</v>
      </c>
      <c r="E8" s="31" t="n">
        <f aca="false">MAX(0, MIN(5, 999) - MAX(3, 'Team Roster'!E8) + 1) * C8</f>
        <v>198000</v>
      </c>
      <c r="F8" s="31" t="n">
        <f aca="false">MAX(0, MIN(8, 999) - MAX(6, 'Team Roster'!E8) + 1) * C8</f>
        <v>198000</v>
      </c>
      <c r="G8" s="31" t="n">
        <f aca="false">MAX(0, MIN(11, 999) - MAX(9, 'Team Roster'!E8) + 1) * C8</f>
        <v>198000</v>
      </c>
      <c r="H8" s="31" t="n">
        <f aca="false">MAX(0, MIN(14, 999) - MAX(12, 'Team Roster'!E8) + 1) * C8</f>
        <v>198000</v>
      </c>
      <c r="I8" s="31" t="n">
        <f aca="false">MAX(0, MIN(17, 999) - MAX(15, 'Team Roster'!E8) + 1) * C8</f>
        <v>198000</v>
      </c>
      <c r="J8" s="31" t="n">
        <f aca="false">MAX(0, MIN(20, 999) - MAX(18, 'Team Roster'!E8) + 1) * C8</f>
        <v>198000</v>
      </c>
      <c r="K8" s="31" t="n">
        <f aca="false">MAX(0, MIN(23, 999) - MAX(21, 'Team Roster'!E8) + 1) * C8</f>
        <v>198000</v>
      </c>
      <c r="L8" s="31" t="n">
        <f aca="false">MAX(0, MIN(26, 999) - MAX(24, 'Team Roster'!E8) + 1) * C8</f>
        <v>198000</v>
      </c>
      <c r="M8" s="32" t="n">
        <f aca="false">SUM(D8:L8)</f>
        <v>1584000</v>
      </c>
    </row>
    <row r="9" customFormat="false" ht="15" hidden="false" customHeight="false" outlineLevel="0" collapsed="false">
      <c r="A9" s="21" t="n">
        <v>6</v>
      </c>
      <c r="B9" s="22" t="s">
        <v>101</v>
      </c>
      <c r="C9" s="25" t="n">
        <f aca="false">'Team Roster'!H9</f>
        <v>72000</v>
      </c>
      <c r="D9" s="33" t="n">
        <f aca="false">MAX(0, MIN(2, 999) - MAX(1, 'Team Roster'!E9) + 1) * C9</f>
        <v>0</v>
      </c>
      <c r="E9" s="33" t="n">
        <f aca="false">MAX(0, MIN(5, 999) - MAX(3, 'Team Roster'!E9) + 1) * C9</f>
        <v>216000</v>
      </c>
      <c r="F9" s="33" t="n">
        <f aca="false">MAX(0, MIN(8, 999) - MAX(6, 'Team Roster'!E9) + 1) * C9</f>
        <v>216000</v>
      </c>
      <c r="G9" s="33" t="n">
        <f aca="false">MAX(0, MIN(11, 999) - MAX(9, 'Team Roster'!E9) + 1) * C9</f>
        <v>216000</v>
      </c>
      <c r="H9" s="33" t="n">
        <f aca="false">MAX(0, MIN(14, 999) - MAX(12, 'Team Roster'!E9) + 1) * C9</f>
        <v>216000</v>
      </c>
      <c r="I9" s="33" t="n">
        <f aca="false">MAX(0, MIN(17, 999) - MAX(15, 'Team Roster'!E9) + 1) * C9</f>
        <v>216000</v>
      </c>
      <c r="J9" s="33" t="n">
        <f aca="false">MAX(0, MIN(20, 999) - MAX(18, 'Team Roster'!E9) + 1) * C9</f>
        <v>216000</v>
      </c>
      <c r="K9" s="33" t="n">
        <f aca="false">MAX(0, MIN(23, 999) - MAX(21, 'Team Roster'!E9) + 1) * C9</f>
        <v>216000</v>
      </c>
      <c r="L9" s="33" t="n">
        <f aca="false">MAX(0, MIN(26, 999) - MAX(24, 'Team Roster'!E9) + 1) * C9</f>
        <v>216000</v>
      </c>
      <c r="M9" s="34" t="n">
        <f aca="false">SUM(D9:L9)</f>
        <v>1728000</v>
      </c>
    </row>
    <row r="10" customFormat="false" ht="15" hidden="false" customHeight="false" outlineLevel="0" collapsed="false">
      <c r="A10" s="14" t="n">
        <v>7</v>
      </c>
      <c r="B10" s="16" t="s">
        <v>103</v>
      </c>
      <c r="C10" s="20" t="n">
        <f aca="false">'Team Roster'!H10</f>
        <v>36000</v>
      </c>
      <c r="D10" s="31" t="n">
        <f aca="false">MAX(0, MIN(2, 999) - MAX(1, 'Team Roster'!E10) + 1) * C10</f>
        <v>0</v>
      </c>
      <c r="E10" s="31" t="n">
        <f aca="false">MAX(0, MIN(5, 999) - MAX(3, 'Team Roster'!E10) + 1) * C10</f>
        <v>72000</v>
      </c>
      <c r="F10" s="31" t="n">
        <f aca="false">MAX(0, MIN(8, 999) - MAX(6, 'Team Roster'!E10) + 1) * C10</f>
        <v>108000</v>
      </c>
      <c r="G10" s="31" t="n">
        <f aca="false">MAX(0, MIN(11, 999) - MAX(9, 'Team Roster'!E10) + 1) * C10</f>
        <v>108000</v>
      </c>
      <c r="H10" s="31" t="n">
        <f aca="false">MAX(0, MIN(14, 999) - MAX(12, 'Team Roster'!E10) + 1) * C10</f>
        <v>108000</v>
      </c>
      <c r="I10" s="31" t="n">
        <f aca="false">MAX(0, MIN(17, 999) - MAX(15, 'Team Roster'!E10) + 1) * C10</f>
        <v>108000</v>
      </c>
      <c r="J10" s="31" t="n">
        <f aca="false">MAX(0, MIN(20, 999) - MAX(18, 'Team Roster'!E10) + 1) * C10</f>
        <v>108000</v>
      </c>
      <c r="K10" s="31" t="n">
        <f aca="false">MAX(0, MIN(23, 999) - MAX(21, 'Team Roster'!E10) + 1) * C10</f>
        <v>108000</v>
      </c>
      <c r="L10" s="31" t="n">
        <f aca="false">MAX(0, MIN(26, 999) - MAX(24, 'Team Roster'!E10) + 1) * C10</f>
        <v>108000</v>
      </c>
      <c r="M10" s="32" t="n">
        <f aca="false">SUM(D10:L10)</f>
        <v>828000</v>
      </c>
    </row>
    <row r="11" customFormat="false" ht="15" hidden="false" customHeight="false" outlineLevel="0" collapsed="false">
      <c r="A11" s="21" t="n">
        <v>8</v>
      </c>
      <c r="B11" s="22" t="s">
        <v>107</v>
      </c>
      <c r="C11" s="25" t="n">
        <f aca="false">'Team Roster'!H11</f>
        <v>60000</v>
      </c>
      <c r="D11" s="33" t="n">
        <f aca="false">MAX(0, MIN(2, 999) - MAX(1, 'Team Roster'!E11) + 1) * C11</f>
        <v>0</v>
      </c>
      <c r="E11" s="33" t="n">
        <f aca="false">MAX(0, MIN(5, 999) - MAX(3, 'Team Roster'!E11) + 1) * C11</f>
        <v>180000</v>
      </c>
      <c r="F11" s="33" t="n">
        <f aca="false">MAX(0, MIN(8, 999) - MAX(6, 'Team Roster'!E11) + 1) * C11</f>
        <v>180000</v>
      </c>
      <c r="G11" s="33" t="n">
        <f aca="false">MAX(0, MIN(11, 999) - MAX(9, 'Team Roster'!E11) + 1) * C11</f>
        <v>180000</v>
      </c>
      <c r="H11" s="33" t="n">
        <f aca="false">MAX(0, MIN(14, 999) - MAX(12, 'Team Roster'!E11) + 1) * C11</f>
        <v>180000</v>
      </c>
      <c r="I11" s="33" t="n">
        <f aca="false">MAX(0, MIN(17, 999) - MAX(15, 'Team Roster'!E11) + 1) * C11</f>
        <v>180000</v>
      </c>
      <c r="J11" s="33" t="n">
        <f aca="false">MAX(0, MIN(20, 999) - MAX(18, 'Team Roster'!E11) + 1) * C11</f>
        <v>180000</v>
      </c>
      <c r="K11" s="33" t="n">
        <f aca="false">MAX(0, MIN(23, 999) - MAX(21, 'Team Roster'!E11) + 1) * C11</f>
        <v>180000</v>
      </c>
      <c r="L11" s="33" t="n">
        <f aca="false">MAX(0, MIN(26, 999) - MAX(24, 'Team Roster'!E11) + 1) * C11</f>
        <v>180000</v>
      </c>
      <c r="M11" s="34" t="n">
        <f aca="false">SUM(D11:L11)</f>
        <v>1440000</v>
      </c>
    </row>
    <row r="12" customFormat="false" ht="15" hidden="false" customHeight="false" outlineLevel="0" collapsed="false">
      <c r="A12" s="14" t="n">
        <v>9</v>
      </c>
      <c r="B12" s="16" t="s">
        <v>109</v>
      </c>
      <c r="C12" s="20" t="n">
        <f aca="false">'Team Roster'!H12</f>
        <v>42000</v>
      </c>
      <c r="D12" s="31" t="n">
        <f aca="false">MAX(0, MIN(2, 999) - MAX(1, 'Team Roster'!E12) + 1) * C12</f>
        <v>0</v>
      </c>
      <c r="E12" s="31" t="n">
        <f aca="false">MAX(0, MIN(5, 999) - MAX(3, 'Team Roster'!E12) + 1) * C12</f>
        <v>0</v>
      </c>
      <c r="F12" s="31" t="n">
        <f aca="false">MAX(0, MIN(8, 999) - MAX(6, 'Team Roster'!E12) + 1) * C12</f>
        <v>126000</v>
      </c>
      <c r="G12" s="31" t="n">
        <f aca="false">MAX(0, MIN(11, 999) - MAX(9, 'Team Roster'!E12) + 1) * C12</f>
        <v>126000</v>
      </c>
      <c r="H12" s="31" t="n">
        <f aca="false">MAX(0, MIN(14, 999) - MAX(12, 'Team Roster'!E12) + 1) * C12</f>
        <v>126000</v>
      </c>
      <c r="I12" s="31" t="n">
        <f aca="false">MAX(0, MIN(17, 999) - MAX(15, 'Team Roster'!E12) + 1) * C12</f>
        <v>126000</v>
      </c>
      <c r="J12" s="31" t="n">
        <f aca="false">MAX(0, MIN(20, 999) - MAX(18, 'Team Roster'!E12) + 1) * C12</f>
        <v>126000</v>
      </c>
      <c r="K12" s="31" t="n">
        <f aca="false">MAX(0, MIN(23, 999) - MAX(21, 'Team Roster'!E12) + 1) * C12</f>
        <v>126000</v>
      </c>
      <c r="L12" s="31" t="n">
        <f aca="false">MAX(0, MIN(26, 999) - MAX(24, 'Team Roster'!E12) + 1) * C12</f>
        <v>126000</v>
      </c>
      <c r="M12" s="32" t="n">
        <f aca="false">SUM(D12:L12)</f>
        <v>882000</v>
      </c>
    </row>
    <row r="13" customFormat="false" ht="15" hidden="false" customHeight="false" outlineLevel="0" collapsed="false">
      <c r="A13" s="21" t="n">
        <v>10</v>
      </c>
      <c r="B13" s="22" t="s">
        <v>112</v>
      </c>
      <c r="C13" s="25" t="n">
        <f aca="false">'Team Roster'!H13</f>
        <v>45600</v>
      </c>
      <c r="D13" s="33" t="n">
        <f aca="false">MAX(0, MIN(2, 999) - MAX(1, 'Team Roster'!E13) + 1) * C13</f>
        <v>0</v>
      </c>
      <c r="E13" s="33" t="n">
        <f aca="false">MAX(0, MIN(5, 999) - MAX(3, 'Team Roster'!E13) + 1) * C13</f>
        <v>0</v>
      </c>
      <c r="F13" s="33" t="n">
        <f aca="false">MAX(0, MIN(8, 999) - MAX(6, 'Team Roster'!E13) + 1) * C13</f>
        <v>136800</v>
      </c>
      <c r="G13" s="33" t="n">
        <f aca="false">MAX(0, MIN(11, 999) - MAX(9, 'Team Roster'!E13) + 1) * C13</f>
        <v>136800</v>
      </c>
      <c r="H13" s="33" t="n">
        <f aca="false">MAX(0, MIN(14, 999) - MAX(12, 'Team Roster'!E13) + 1) * C13</f>
        <v>136800</v>
      </c>
      <c r="I13" s="33" t="n">
        <f aca="false">MAX(0, MIN(17, 999) - MAX(15, 'Team Roster'!E13) + 1) * C13</f>
        <v>136800</v>
      </c>
      <c r="J13" s="33" t="n">
        <f aca="false">MAX(0, MIN(20, 999) - MAX(18, 'Team Roster'!E13) + 1) * C13</f>
        <v>136800</v>
      </c>
      <c r="K13" s="33" t="n">
        <f aca="false">MAX(0, MIN(23, 999) - MAX(21, 'Team Roster'!E13) + 1) * C13</f>
        <v>136800</v>
      </c>
      <c r="L13" s="33" t="n">
        <f aca="false">MAX(0, MIN(26, 999) - MAX(24, 'Team Roster'!E13) + 1) * C13</f>
        <v>136800</v>
      </c>
      <c r="M13" s="34" t="n">
        <f aca="false">SUM(D13:L13)</f>
        <v>957600</v>
      </c>
    </row>
    <row r="14" customFormat="false" ht="15" hidden="false" customHeight="false" outlineLevel="0" collapsed="false">
      <c r="A14" s="14" t="n">
        <v>11</v>
      </c>
      <c r="B14" s="16" t="s">
        <v>114</v>
      </c>
      <c r="C14" s="20" t="n">
        <f aca="false">'Team Roster'!H14</f>
        <v>30000</v>
      </c>
      <c r="D14" s="31" t="n">
        <f aca="false">MAX(0, MIN(2, 999) - MAX(1, 'Team Roster'!E14) + 1) * C14</f>
        <v>60000</v>
      </c>
      <c r="E14" s="31" t="n">
        <f aca="false">MAX(0, MIN(5, 999) - MAX(3, 'Team Roster'!E14) + 1) * C14</f>
        <v>90000</v>
      </c>
      <c r="F14" s="31" t="n">
        <f aca="false">MAX(0, MIN(8, 999) - MAX(6, 'Team Roster'!E14) + 1) * C14</f>
        <v>90000</v>
      </c>
      <c r="G14" s="31" t="n">
        <f aca="false">MAX(0, MIN(11, 999) - MAX(9, 'Team Roster'!E14) + 1) * C14</f>
        <v>90000</v>
      </c>
      <c r="H14" s="31" t="n">
        <f aca="false">MAX(0, MIN(14, 999) - MAX(12, 'Team Roster'!E14) + 1) * C14</f>
        <v>90000</v>
      </c>
      <c r="I14" s="31" t="n">
        <f aca="false">MAX(0, MIN(17, 999) - MAX(15, 'Team Roster'!E14) + 1) * C14</f>
        <v>90000</v>
      </c>
      <c r="J14" s="31" t="n">
        <f aca="false">MAX(0, MIN(20, 999) - MAX(18, 'Team Roster'!E14) + 1) * C14</f>
        <v>90000</v>
      </c>
      <c r="K14" s="31" t="n">
        <f aca="false">MAX(0, MIN(23, 999) - MAX(21, 'Team Roster'!E14) + 1) * C14</f>
        <v>90000</v>
      </c>
      <c r="L14" s="31" t="n">
        <f aca="false">MAX(0, MIN(26, 999) - MAX(24, 'Team Roster'!E14) + 1) * C14</f>
        <v>90000</v>
      </c>
      <c r="M14" s="32" t="n">
        <f aca="false">SUM(D14:L14)</f>
        <v>780000</v>
      </c>
    </row>
    <row r="15" customFormat="false" ht="15" hidden="false" customHeight="false" outlineLevel="0" collapsed="false">
      <c r="A15" s="21" t="n">
        <v>12</v>
      </c>
      <c r="B15" s="22" t="s">
        <v>116</v>
      </c>
      <c r="C15" s="25" t="n">
        <f aca="false">'Team Roster'!H15</f>
        <v>48000</v>
      </c>
      <c r="D15" s="33" t="n">
        <f aca="false">MAX(0, MIN(2, 999) - MAX(1, 'Team Roster'!E15) + 1) * C15</f>
        <v>96000</v>
      </c>
      <c r="E15" s="33" t="n">
        <f aca="false">MAX(0, MIN(5, 999) - MAX(3, 'Team Roster'!E15) + 1) * C15</f>
        <v>144000</v>
      </c>
      <c r="F15" s="33" t="n">
        <f aca="false">MAX(0, MIN(8, 999) - MAX(6, 'Team Roster'!E15) + 1) * C15</f>
        <v>144000</v>
      </c>
      <c r="G15" s="33" t="n">
        <f aca="false">MAX(0, MIN(11, 999) - MAX(9, 'Team Roster'!E15) + 1) * C15</f>
        <v>144000</v>
      </c>
      <c r="H15" s="33" t="n">
        <f aca="false">MAX(0, MIN(14, 999) - MAX(12, 'Team Roster'!E15) + 1) * C15</f>
        <v>144000</v>
      </c>
      <c r="I15" s="33" t="n">
        <f aca="false">MAX(0, MIN(17, 999) - MAX(15, 'Team Roster'!E15) + 1) * C15</f>
        <v>144000</v>
      </c>
      <c r="J15" s="33" t="n">
        <f aca="false">MAX(0, MIN(20, 999) - MAX(18, 'Team Roster'!E15) + 1) * C15</f>
        <v>144000</v>
      </c>
      <c r="K15" s="33" t="n">
        <f aca="false">MAX(0, MIN(23, 999) - MAX(21, 'Team Roster'!E15) + 1) * C15</f>
        <v>144000</v>
      </c>
      <c r="L15" s="33" t="n">
        <f aca="false">MAX(0, MIN(26, 999) - MAX(24, 'Team Roster'!E15) + 1) * C15</f>
        <v>144000</v>
      </c>
      <c r="M15" s="34" t="n">
        <f aca="false">SUM(D15:L15)</f>
        <v>1248000</v>
      </c>
    </row>
    <row r="17" customFormat="false" ht="15" hidden="false" customHeight="false" outlineLevel="0" collapsed="false">
      <c r="A17" s="28"/>
      <c r="B17" s="29" t="s">
        <v>122</v>
      </c>
      <c r="C17" s="30" t="n">
        <f aca="false">SUM(C4:C15)</f>
        <v>447600</v>
      </c>
      <c r="D17" s="30" t="n">
        <f aca="false">SUM(D4:D15)</f>
        <v>252000</v>
      </c>
      <c r="E17" s="30" t="n">
        <f aca="false">SUM(E4:E15)</f>
        <v>1044000</v>
      </c>
      <c r="F17" s="30" t="n">
        <f aca="false">SUM(F4:F15)</f>
        <v>1342800</v>
      </c>
      <c r="G17" s="30" t="n">
        <f aca="false">SUM(G4:G15)</f>
        <v>1342800</v>
      </c>
      <c r="H17" s="30" t="n">
        <f aca="false">SUM(H4:H15)</f>
        <v>1342800</v>
      </c>
      <c r="I17" s="30" t="n">
        <f aca="false">SUM(I4:I15)</f>
        <v>1342800</v>
      </c>
      <c r="J17" s="30" t="n">
        <f aca="false">SUM(J4:J15)</f>
        <v>1342800</v>
      </c>
      <c r="K17" s="30" t="n">
        <f aca="false">SUM(K4:K15)</f>
        <v>1342800</v>
      </c>
      <c r="L17" s="30" t="n">
        <f aca="false">SUM(L4:L15)</f>
        <v>1342800</v>
      </c>
      <c r="M17" s="30" t="n">
        <f aca="false">SUM(M4:M15)</f>
        <v>10695600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5" min="4" style="0" width="18"/>
    <col collapsed="false" customWidth="true" hidden="false" outlineLevel="0" max="14" min="6" style="0" width="15"/>
    <col collapsed="false" customWidth="true" hidden="false" outlineLevel="0" max="15" min="15" style="0" width="18"/>
  </cols>
  <sheetData>
    <row r="1" customFormat="false" ht="27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6.85" hidden="false" customHeight="false" outlineLevel="0" collapsed="false">
      <c r="A3" s="11" t="s">
        <v>79</v>
      </c>
      <c r="B3" s="11" t="s">
        <v>124</v>
      </c>
      <c r="C3" s="11" t="s">
        <v>56</v>
      </c>
      <c r="D3" s="11" t="s">
        <v>125</v>
      </c>
      <c r="E3" s="11" t="s">
        <v>126</v>
      </c>
      <c r="F3" s="11" t="s">
        <v>60</v>
      </c>
      <c r="G3" s="11" t="s">
        <v>62</v>
      </c>
      <c r="H3" s="11" t="s">
        <v>64</v>
      </c>
      <c r="I3" s="11" t="s">
        <v>66</v>
      </c>
      <c r="J3" s="11" t="s">
        <v>68</v>
      </c>
      <c r="K3" s="11" t="s">
        <v>70</v>
      </c>
      <c r="L3" s="11" t="s">
        <v>72</v>
      </c>
      <c r="M3" s="11" t="s">
        <v>74</v>
      </c>
      <c r="N3" s="11" t="s">
        <v>76</v>
      </c>
      <c r="O3" s="11" t="s">
        <v>121</v>
      </c>
    </row>
    <row r="4" customFormat="false" ht="15" hidden="false" customHeight="false" outlineLevel="0" collapsed="false">
      <c r="A4" s="14" t="n">
        <v>1</v>
      </c>
      <c r="B4" s="16" t="s">
        <v>127</v>
      </c>
      <c r="C4" s="13" t="n">
        <v>1</v>
      </c>
      <c r="D4" s="13" t="n">
        <v>12</v>
      </c>
      <c r="E4" s="19" t="n">
        <v>0</v>
      </c>
      <c r="F4" s="31" t="n">
        <f aca="false">MAX(0, MIN(2, C4+D4-1) - MAX(1, C4) + 1) * E4</f>
        <v>0</v>
      </c>
      <c r="G4" s="31" t="n">
        <f aca="false">MAX(0, MIN(5, C4+D4-1) - MAX(3, C4) + 1) * E4</f>
        <v>0</v>
      </c>
      <c r="H4" s="31" t="n">
        <f aca="false">MAX(0, MIN(8, C4+D4-1) - MAX(6, C4) + 1) * E4</f>
        <v>0</v>
      </c>
      <c r="I4" s="31" t="n">
        <f aca="false">MAX(0, MIN(11, C4+D4-1) - MAX(9, C4) + 1) * E4</f>
        <v>0</v>
      </c>
      <c r="J4" s="31" t="n">
        <f aca="false">MAX(0, MIN(14, C4+D4-1) - MAX(12, C4) + 1) * E4</f>
        <v>0</v>
      </c>
      <c r="K4" s="31" t="n">
        <f aca="false">MAX(0, MIN(17, C4+D4-1) - MAX(15, C4) + 1) * E4</f>
        <v>0</v>
      </c>
      <c r="L4" s="31" t="n">
        <f aca="false">MAX(0, MIN(20, C4+D4-1) - MAX(18, C4) + 1) * E4</f>
        <v>0</v>
      </c>
      <c r="M4" s="31" t="n">
        <f aca="false">MAX(0, MIN(23, C4+D4-1) - MAX(21, C4) + 1) * E4</f>
        <v>0</v>
      </c>
      <c r="N4" s="31" t="n">
        <f aca="false">MAX(0, MIN(26, C4+D4-1) - MAX(24, C4) + 1) * E4</f>
        <v>0</v>
      </c>
      <c r="O4" s="32" t="n">
        <f aca="false">SUM(F4:N4)</f>
        <v>0</v>
      </c>
    </row>
    <row r="5" customFormat="false" ht="15" hidden="false" customHeight="false" outlineLevel="0" collapsed="false">
      <c r="A5" s="21" t="n">
        <v>2</v>
      </c>
      <c r="B5" s="22" t="s">
        <v>128</v>
      </c>
      <c r="C5" s="27" t="n">
        <v>3</v>
      </c>
      <c r="D5" s="27" t="n">
        <v>2</v>
      </c>
      <c r="E5" s="24" t="n">
        <v>25000</v>
      </c>
      <c r="F5" s="33" t="n">
        <f aca="false">MAX(0, MIN(2, C5+D5-1) - MAX(1, C5) + 1) * E5</f>
        <v>0</v>
      </c>
      <c r="G5" s="33" t="n">
        <f aca="false">MAX(0, MIN(5, C5+D5-1) - MAX(3, C5) + 1) * E5</f>
        <v>50000</v>
      </c>
      <c r="H5" s="33" t="n">
        <f aca="false">MAX(0, MIN(8, C5+D5-1) - MAX(6, C5) + 1) * E5</f>
        <v>0</v>
      </c>
      <c r="I5" s="33" t="n">
        <f aca="false">MAX(0, MIN(11, C5+D5-1) - MAX(9, C5) + 1) * E5</f>
        <v>0</v>
      </c>
      <c r="J5" s="33" t="n">
        <f aca="false">MAX(0, MIN(14, C5+D5-1) - MAX(12, C5) + 1) * E5</f>
        <v>0</v>
      </c>
      <c r="K5" s="33" t="n">
        <f aca="false">MAX(0, MIN(17, C5+D5-1) - MAX(15, C5) + 1) * E5</f>
        <v>0</v>
      </c>
      <c r="L5" s="33" t="n">
        <f aca="false">MAX(0, MIN(20, C5+D5-1) - MAX(18, C5) + 1) * E5</f>
        <v>0</v>
      </c>
      <c r="M5" s="33" t="n">
        <f aca="false">MAX(0, MIN(23, C5+D5-1) - MAX(21, C5) + 1) * E5</f>
        <v>0</v>
      </c>
      <c r="N5" s="33" t="n">
        <f aca="false">MAX(0, MIN(26, C5+D5-1) - MAX(24, C5) + 1) * E5</f>
        <v>0</v>
      </c>
      <c r="O5" s="34" t="n">
        <f aca="false">SUM(F5:N5)</f>
        <v>50000</v>
      </c>
    </row>
    <row r="6" customFormat="false" ht="15" hidden="false" customHeight="false" outlineLevel="0" collapsed="false">
      <c r="A6" s="14" t="n">
        <v>3</v>
      </c>
      <c r="B6" s="16" t="s">
        <v>129</v>
      </c>
      <c r="C6" s="13" t="n">
        <v>9</v>
      </c>
      <c r="D6" s="13" t="n">
        <v>1</v>
      </c>
      <c r="E6" s="26" t="n">
        <v>60000</v>
      </c>
      <c r="F6" s="31" t="n">
        <f aca="false">MAX(0, MIN(2, C6+D6-1) - MAX(1, C6) + 1) * E6</f>
        <v>0</v>
      </c>
      <c r="G6" s="31" t="n">
        <f aca="false">MAX(0, MIN(5, C6+D6-1) - MAX(3, C6) + 1) * E6</f>
        <v>0</v>
      </c>
      <c r="H6" s="31" t="n">
        <f aca="false">MAX(0, MIN(8, C6+D6-1) - MAX(6, C6) + 1) * E6</f>
        <v>0</v>
      </c>
      <c r="I6" s="31" t="n">
        <f aca="false">MAX(0, MIN(11, C6+D6-1) - MAX(9, C6) + 1) * E6</f>
        <v>60000</v>
      </c>
      <c r="J6" s="31" t="n">
        <f aca="false">MAX(0, MIN(14, C6+D6-1) - MAX(12, C6) + 1) * E6</f>
        <v>0</v>
      </c>
      <c r="K6" s="31" t="n">
        <f aca="false">MAX(0, MIN(17, C6+D6-1) - MAX(15, C6) + 1) * E6</f>
        <v>0</v>
      </c>
      <c r="L6" s="31" t="n">
        <f aca="false">MAX(0, MIN(20, C6+D6-1) - MAX(18, C6) + 1) * E6</f>
        <v>0</v>
      </c>
      <c r="M6" s="31" t="n">
        <f aca="false">MAX(0, MIN(23, C6+D6-1) - MAX(21, C6) + 1) * E6</f>
        <v>0</v>
      </c>
      <c r="N6" s="31" t="n">
        <f aca="false">MAX(0, MIN(26, C6+D6-1) - MAX(24, C6) + 1) * E6</f>
        <v>0</v>
      </c>
      <c r="O6" s="32" t="n">
        <f aca="false">SUM(F6:N6)</f>
        <v>60000</v>
      </c>
    </row>
    <row r="7" customFormat="false" ht="15" hidden="false" customHeight="false" outlineLevel="0" collapsed="false">
      <c r="A7" s="21" t="n">
        <v>4</v>
      </c>
      <c r="B7" s="22" t="s">
        <v>130</v>
      </c>
      <c r="C7" s="27" t="n">
        <v>1</v>
      </c>
      <c r="D7" s="27" t="n">
        <v>6</v>
      </c>
      <c r="E7" s="24" t="n">
        <v>15000</v>
      </c>
      <c r="F7" s="33" t="n">
        <f aca="false">MAX(0, MIN(2, C7+D7-1) - MAX(1, C7) + 1) * E7</f>
        <v>30000</v>
      </c>
      <c r="G7" s="33" t="n">
        <f aca="false">MAX(0, MIN(5, C7+D7-1) - MAX(3, C7) + 1) * E7</f>
        <v>45000</v>
      </c>
      <c r="H7" s="33" t="n">
        <f aca="false">MAX(0, MIN(8, C7+D7-1) - MAX(6, C7) + 1) * E7</f>
        <v>15000</v>
      </c>
      <c r="I7" s="33" t="n">
        <f aca="false">MAX(0, MIN(11, C7+D7-1) - MAX(9, C7) + 1) * E7</f>
        <v>0</v>
      </c>
      <c r="J7" s="33" t="n">
        <f aca="false">MAX(0, MIN(14, C7+D7-1) - MAX(12, C7) + 1) * E7</f>
        <v>0</v>
      </c>
      <c r="K7" s="33" t="n">
        <f aca="false">MAX(0, MIN(17, C7+D7-1) - MAX(15, C7) + 1) * E7</f>
        <v>0</v>
      </c>
      <c r="L7" s="33" t="n">
        <f aca="false">MAX(0, MIN(20, C7+D7-1) - MAX(18, C7) + 1) * E7</f>
        <v>0</v>
      </c>
      <c r="M7" s="33" t="n">
        <f aca="false">MAX(0, MIN(23, C7+D7-1) - MAX(21, C7) + 1) * E7</f>
        <v>0</v>
      </c>
      <c r="N7" s="33" t="n">
        <f aca="false">MAX(0, MIN(26, C7+D7-1) - MAX(24, C7) + 1) * E7</f>
        <v>0</v>
      </c>
      <c r="O7" s="34" t="n">
        <f aca="false">SUM(F7:N7)</f>
        <v>90000</v>
      </c>
    </row>
    <row r="9" customFormat="false" ht="15" hidden="false" customHeight="false" outlineLevel="0" collapsed="false">
      <c r="A9" s="28"/>
      <c r="B9" s="29" t="s">
        <v>131</v>
      </c>
      <c r="C9" s="28"/>
      <c r="D9" s="28"/>
      <c r="E9" s="28"/>
      <c r="F9" s="30" t="n">
        <f aca="false">SUM(F4:F7)</f>
        <v>30000</v>
      </c>
      <c r="G9" s="30" t="n">
        <f aca="false">SUM(G4:G7)</f>
        <v>95000</v>
      </c>
      <c r="H9" s="30" t="n">
        <f aca="false">SUM(H4:H7)</f>
        <v>15000</v>
      </c>
      <c r="I9" s="30" t="n">
        <f aca="false">SUM(I4:I7)</f>
        <v>60000</v>
      </c>
      <c r="J9" s="30" t="n">
        <f aca="false">SUM(J4:J7)</f>
        <v>0</v>
      </c>
      <c r="K9" s="30" t="n">
        <f aca="false">SUM(K4:K7)</f>
        <v>0</v>
      </c>
      <c r="L9" s="30" t="n">
        <f aca="false">SUM(L4:L7)</f>
        <v>0</v>
      </c>
      <c r="M9" s="30" t="n">
        <f aca="false">SUM(M4:M7)</f>
        <v>0</v>
      </c>
      <c r="N9" s="30" t="n">
        <f aca="false">SUM(N4:N7)</f>
        <v>0</v>
      </c>
      <c r="O9" s="30" t="n">
        <f aca="false">SUM(O4:O7)</f>
        <v>200000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13" min="5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11" t="s">
        <v>79</v>
      </c>
      <c r="B3" s="11" t="s">
        <v>133</v>
      </c>
      <c r="C3" s="11" t="s">
        <v>56</v>
      </c>
      <c r="D3" s="11" t="s">
        <v>126</v>
      </c>
      <c r="E3" s="11" t="s">
        <v>60</v>
      </c>
      <c r="F3" s="11" t="s">
        <v>62</v>
      </c>
      <c r="G3" s="11" t="s">
        <v>64</v>
      </c>
      <c r="H3" s="11" t="s">
        <v>66</v>
      </c>
      <c r="I3" s="11" t="s">
        <v>68</v>
      </c>
      <c r="J3" s="11" t="s">
        <v>70</v>
      </c>
      <c r="K3" s="11" t="s">
        <v>72</v>
      </c>
      <c r="L3" s="11" t="s">
        <v>74</v>
      </c>
      <c r="M3" s="11" t="s">
        <v>76</v>
      </c>
      <c r="N3" s="11" t="s">
        <v>121</v>
      </c>
    </row>
    <row r="4" customFormat="false" ht="15" hidden="false" customHeight="false" outlineLevel="0" collapsed="false">
      <c r="A4" s="14" t="n">
        <v>1</v>
      </c>
      <c r="B4" s="16" t="s">
        <v>134</v>
      </c>
      <c r="C4" s="13" t="n">
        <v>1</v>
      </c>
      <c r="D4" s="26" t="n">
        <v>12000</v>
      </c>
      <c r="E4" s="31" t="n">
        <f aca="false">MAX(0, MIN(2, 999) - MAX(1, C4) + 1) * D4</f>
        <v>24000</v>
      </c>
      <c r="F4" s="31" t="n">
        <f aca="false">MAX(0, MIN(5, 999) - MAX(3, C4) + 1) * D4</f>
        <v>36000</v>
      </c>
      <c r="G4" s="31" t="n">
        <f aca="false">MAX(0, MIN(8, 999) - MAX(6, C4) + 1) * D4</f>
        <v>36000</v>
      </c>
      <c r="H4" s="31" t="n">
        <f aca="false">MAX(0, MIN(11, 999) - MAX(9, C4) + 1) * D4</f>
        <v>36000</v>
      </c>
      <c r="I4" s="31" t="n">
        <f aca="false">MAX(0, MIN(14, 999) - MAX(12, C4) + 1) * D4</f>
        <v>36000</v>
      </c>
      <c r="J4" s="31" t="n">
        <f aca="false">MAX(0, MIN(17, 999) - MAX(15, C4) + 1) * D4</f>
        <v>36000</v>
      </c>
      <c r="K4" s="31" t="n">
        <f aca="false">MAX(0, MIN(20, 999) - MAX(18, C4) + 1) * D4</f>
        <v>36000</v>
      </c>
      <c r="L4" s="31" t="n">
        <f aca="false">MAX(0, MIN(23, 999) - MAX(21, C4) + 1) * D4</f>
        <v>36000</v>
      </c>
      <c r="M4" s="31" t="n">
        <f aca="false">MAX(0, MIN(26, 999) - MAX(24, C4) + 1) * D4</f>
        <v>36000</v>
      </c>
      <c r="N4" s="32" t="n">
        <f aca="false">SUM(E4:M4)</f>
        <v>312000</v>
      </c>
    </row>
    <row r="5" customFormat="false" ht="15" hidden="false" customHeight="false" outlineLevel="0" collapsed="false">
      <c r="A5" s="21" t="n">
        <v>2</v>
      </c>
      <c r="B5" s="22" t="s">
        <v>135</v>
      </c>
      <c r="C5" s="27" t="n">
        <v>1</v>
      </c>
      <c r="D5" s="24" t="n">
        <v>5000</v>
      </c>
      <c r="E5" s="33" t="n">
        <f aca="false">MAX(0, MIN(2, 999) - MAX(1, C5) + 1) * D5</f>
        <v>10000</v>
      </c>
      <c r="F5" s="33" t="n">
        <f aca="false">MAX(0, MIN(5, 999) - MAX(3, C5) + 1) * D5</f>
        <v>15000</v>
      </c>
      <c r="G5" s="33" t="n">
        <f aca="false">MAX(0, MIN(8, 999) - MAX(6, C5) + 1) * D5</f>
        <v>15000</v>
      </c>
      <c r="H5" s="33" t="n">
        <f aca="false">MAX(0, MIN(11, 999) - MAX(9, C5) + 1) * D5</f>
        <v>15000</v>
      </c>
      <c r="I5" s="33" t="n">
        <f aca="false">MAX(0, MIN(14, 999) - MAX(12, C5) + 1) * D5</f>
        <v>15000</v>
      </c>
      <c r="J5" s="33" t="n">
        <f aca="false">MAX(0, MIN(17, 999) - MAX(15, C5) + 1) * D5</f>
        <v>15000</v>
      </c>
      <c r="K5" s="33" t="n">
        <f aca="false">MAX(0, MIN(20, 999) - MAX(18, C5) + 1) * D5</f>
        <v>15000</v>
      </c>
      <c r="L5" s="33" t="n">
        <f aca="false">MAX(0, MIN(23, 999) - MAX(21, C5) + 1) * D5</f>
        <v>15000</v>
      </c>
      <c r="M5" s="33" t="n">
        <f aca="false">MAX(0, MIN(26, 999) - MAX(24, C5) + 1) * D5</f>
        <v>15000</v>
      </c>
      <c r="N5" s="34" t="n">
        <f aca="false">SUM(E5:M5)</f>
        <v>130000</v>
      </c>
    </row>
    <row r="6" customFormat="false" ht="15" hidden="false" customHeight="false" outlineLevel="0" collapsed="false">
      <c r="A6" s="14" t="n">
        <v>3</v>
      </c>
      <c r="B6" s="16" t="s">
        <v>136</v>
      </c>
      <c r="C6" s="13" t="n">
        <v>1</v>
      </c>
      <c r="D6" s="26" t="n">
        <v>2500</v>
      </c>
      <c r="E6" s="31" t="n">
        <f aca="false">MAX(0, MIN(2, 999) - MAX(1, C6) + 1) * D6</f>
        <v>5000</v>
      </c>
      <c r="F6" s="31" t="n">
        <f aca="false">MAX(0, MIN(5, 999) - MAX(3, C6) + 1) * D6</f>
        <v>7500</v>
      </c>
      <c r="G6" s="31" t="n">
        <f aca="false">MAX(0, MIN(8, 999) - MAX(6, C6) + 1) * D6</f>
        <v>7500</v>
      </c>
      <c r="H6" s="31" t="n">
        <f aca="false">MAX(0, MIN(11, 999) - MAX(9, C6) + 1) * D6</f>
        <v>7500</v>
      </c>
      <c r="I6" s="31" t="n">
        <f aca="false">MAX(0, MIN(14, 999) - MAX(12, C6) + 1) * D6</f>
        <v>7500</v>
      </c>
      <c r="J6" s="31" t="n">
        <f aca="false">MAX(0, MIN(17, 999) - MAX(15, C6) + 1) * D6</f>
        <v>7500</v>
      </c>
      <c r="K6" s="31" t="n">
        <f aca="false">MAX(0, MIN(20, 999) - MAX(18, C6) + 1) * D6</f>
        <v>7500</v>
      </c>
      <c r="L6" s="31" t="n">
        <f aca="false">MAX(0, MIN(23, 999) - MAX(21, C6) + 1) * D6</f>
        <v>7500</v>
      </c>
      <c r="M6" s="31" t="n">
        <f aca="false">MAX(0, MIN(26, 999) - MAX(24, C6) + 1) * D6</f>
        <v>7500</v>
      </c>
      <c r="N6" s="32" t="n">
        <f aca="false">SUM(E6:M6)</f>
        <v>65000</v>
      </c>
    </row>
    <row r="7" customFormat="false" ht="15" hidden="false" customHeight="false" outlineLevel="0" collapsed="false">
      <c r="A7" s="21" t="n">
        <v>4</v>
      </c>
      <c r="B7" s="22" t="s">
        <v>137</v>
      </c>
      <c r="C7" s="27" t="n">
        <v>1</v>
      </c>
      <c r="D7" s="24" t="n">
        <v>3500</v>
      </c>
      <c r="E7" s="33" t="n">
        <f aca="false">MAX(0, MIN(2, 999) - MAX(1, C7) + 1) * D7</f>
        <v>7000</v>
      </c>
      <c r="F7" s="33" t="n">
        <f aca="false">MAX(0, MIN(5, 999) - MAX(3, C7) + 1) * D7</f>
        <v>10500</v>
      </c>
      <c r="G7" s="33" t="n">
        <f aca="false">MAX(0, MIN(8, 999) - MAX(6, C7) + 1) * D7</f>
        <v>10500</v>
      </c>
      <c r="H7" s="33" t="n">
        <f aca="false">MAX(0, MIN(11, 999) - MAX(9, C7) + 1) * D7</f>
        <v>10500</v>
      </c>
      <c r="I7" s="33" t="n">
        <f aca="false">MAX(0, MIN(14, 999) - MAX(12, C7) + 1) * D7</f>
        <v>10500</v>
      </c>
      <c r="J7" s="33" t="n">
        <f aca="false">MAX(0, MIN(17, 999) - MAX(15, C7) + 1) * D7</f>
        <v>10500</v>
      </c>
      <c r="K7" s="33" t="n">
        <f aca="false">MAX(0, MIN(20, 999) - MAX(18, C7) + 1) * D7</f>
        <v>10500</v>
      </c>
      <c r="L7" s="33" t="n">
        <f aca="false">MAX(0, MIN(23, 999) - MAX(21, C7) + 1) * D7</f>
        <v>10500</v>
      </c>
      <c r="M7" s="33" t="n">
        <f aca="false">MAX(0, MIN(26, 999) - MAX(24, C7) + 1) * D7</f>
        <v>10500</v>
      </c>
      <c r="N7" s="34" t="n">
        <f aca="false">SUM(E7:M7)</f>
        <v>91000</v>
      </c>
    </row>
    <row r="8" customFormat="false" ht="15" hidden="false" customHeight="false" outlineLevel="0" collapsed="false">
      <c r="A8" s="14" t="n">
        <v>5</v>
      </c>
      <c r="B8" s="16" t="s">
        <v>138</v>
      </c>
      <c r="C8" s="13" t="n">
        <v>1</v>
      </c>
      <c r="D8" s="26" t="n">
        <v>2000</v>
      </c>
      <c r="E8" s="31" t="n">
        <f aca="false">MAX(0, MIN(2, 999) - MAX(1, C8) + 1) * D8</f>
        <v>4000</v>
      </c>
      <c r="F8" s="31" t="n">
        <f aca="false">MAX(0, MIN(5, 999) - MAX(3, C8) + 1) * D8</f>
        <v>6000</v>
      </c>
      <c r="G8" s="31" t="n">
        <f aca="false">MAX(0, MIN(8, 999) - MAX(6, C8) + 1) * D8</f>
        <v>6000</v>
      </c>
      <c r="H8" s="31" t="n">
        <f aca="false">MAX(0, MIN(11, 999) - MAX(9, C8) + 1) * D8</f>
        <v>6000</v>
      </c>
      <c r="I8" s="31" t="n">
        <f aca="false">MAX(0, MIN(14, 999) - MAX(12, C8) + 1) * D8</f>
        <v>6000</v>
      </c>
      <c r="J8" s="31" t="n">
        <f aca="false">MAX(0, MIN(17, 999) - MAX(15, C8) + 1) * D8</f>
        <v>6000</v>
      </c>
      <c r="K8" s="31" t="n">
        <f aca="false">MAX(0, MIN(20, 999) - MAX(18, C8) + 1) * D8</f>
        <v>6000</v>
      </c>
      <c r="L8" s="31" t="n">
        <f aca="false">MAX(0, MIN(23, 999) - MAX(21, C8) + 1) * D8</f>
        <v>6000</v>
      </c>
      <c r="M8" s="31" t="n">
        <f aca="false">MAX(0, MIN(26, 999) - MAX(24, C8) + 1) * D8</f>
        <v>6000</v>
      </c>
      <c r="N8" s="32" t="n">
        <f aca="false">SUM(E8:M8)</f>
        <v>52000</v>
      </c>
    </row>
    <row r="9" customFormat="false" ht="15" hidden="false" customHeight="false" outlineLevel="0" collapsed="false">
      <c r="A9" s="21" t="n">
        <v>6</v>
      </c>
      <c r="B9" s="22" t="s">
        <v>139</v>
      </c>
      <c r="C9" s="27" t="n">
        <v>3</v>
      </c>
      <c r="D9" s="24" t="n">
        <v>4000</v>
      </c>
      <c r="E9" s="33" t="n">
        <f aca="false">MAX(0, MIN(2, 999) - MAX(1, C9) + 1) * D9</f>
        <v>0</v>
      </c>
      <c r="F9" s="33" t="n">
        <f aca="false">MAX(0, MIN(5, 999) - MAX(3, C9) + 1) * D9</f>
        <v>12000</v>
      </c>
      <c r="G9" s="33" t="n">
        <f aca="false">MAX(0, MIN(8, 999) - MAX(6, C9) + 1) * D9</f>
        <v>12000</v>
      </c>
      <c r="H9" s="33" t="n">
        <f aca="false">MAX(0, MIN(11, 999) - MAX(9, C9) + 1) * D9</f>
        <v>12000</v>
      </c>
      <c r="I9" s="33" t="n">
        <f aca="false">MAX(0, MIN(14, 999) - MAX(12, C9) + 1) * D9</f>
        <v>12000</v>
      </c>
      <c r="J9" s="33" t="n">
        <f aca="false">MAX(0, MIN(17, 999) - MAX(15, C9) + 1) * D9</f>
        <v>12000</v>
      </c>
      <c r="K9" s="33" t="n">
        <f aca="false">MAX(0, MIN(20, 999) - MAX(18, C9) + 1) * D9</f>
        <v>12000</v>
      </c>
      <c r="L9" s="33" t="n">
        <f aca="false">MAX(0, MIN(23, 999) - MAX(21, C9) + 1) * D9</f>
        <v>12000</v>
      </c>
      <c r="M9" s="33" t="n">
        <f aca="false">MAX(0, MIN(26, 999) - MAX(24, C9) + 1) * D9</f>
        <v>12000</v>
      </c>
      <c r="N9" s="34" t="n">
        <f aca="false">SUM(E9:M9)</f>
        <v>96000</v>
      </c>
    </row>
    <row r="10" customFormat="false" ht="15" hidden="false" customHeight="false" outlineLevel="0" collapsed="false">
      <c r="A10" s="14" t="n">
        <v>7</v>
      </c>
      <c r="B10" s="16" t="s">
        <v>140</v>
      </c>
      <c r="C10" s="13" t="n">
        <v>1</v>
      </c>
      <c r="D10" s="26" t="n">
        <v>3000</v>
      </c>
      <c r="E10" s="31" t="n">
        <f aca="false">MAX(0, MIN(2, 999) - MAX(1, C10) + 1) * D10</f>
        <v>6000</v>
      </c>
      <c r="F10" s="31" t="n">
        <f aca="false">MAX(0, MIN(5, 999) - MAX(3, C10) + 1) * D10</f>
        <v>9000</v>
      </c>
      <c r="G10" s="31" t="n">
        <f aca="false">MAX(0, MIN(8, 999) - MAX(6, C10) + 1) * D10</f>
        <v>9000</v>
      </c>
      <c r="H10" s="31" t="n">
        <f aca="false">MAX(0, MIN(11, 999) - MAX(9, C10) + 1) * D10</f>
        <v>9000</v>
      </c>
      <c r="I10" s="31" t="n">
        <f aca="false">MAX(0, MIN(14, 999) - MAX(12, C10) + 1) * D10</f>
        <v>9000</v>
      </c>
      <c r="J10" s="31" t="n">
        <f aca="false">MAX(0, MIN(17, 999) - MAX(15, C10) + 1) * D10</f>
        <v>9000</v>
      </c>
      <c r="K10" s="31" t="n">
        <f aca="false">MAX(0, MIN(20, 999) - MAX(18, C10) + 1) * D10</f>
        <v>9000</v>
      </c>
      <c r="L10" s="31" t="n">
        <f aca="false">MAX(0, MIN(23, 999) - MAX(21, C10) + 1) * D10</f>
        <v>9000</v>
      </c>
      <c r="M10" s="31" t="n">
        <f aca="false">MAX(0, MIN(26, 999) - MAX(24, C10) + 1) * D10</f>
        <v>9000</v>
      </c>
      <c r="N10" s="32" t="n">
        <f aca="false">SUM(E10:M10)</f>
        <v>78000</v>
      </c>
    </row>
    <row r="11" customFormat="false" ht="15" hidden="false" customHeight="false" outlineLevel="0" collapsed="false">
      <c r="A11" s="21" t="n">
        <v>8</v>
      </c>
      <c r="B11" s="22" t="s">
        <v>141</v>
      </c>
      <c r="C11" s="27" t="n">
        <v>1</v>
      </c>
      <c r="D11" s="24" t="n">
        <v>2500</v>
      </c>
      <c r="E11" s="33" t="n">
        <f aca="false">MAX(0, MIN(2, 999) - MAX(1, C11) + 1) * D11</f>
        <v>5000</v>
      </c>
      <c r="F11" s="33" t="n">
        <f aca="false">MAX(0, MIN(5, 999) - MAX(3, C11) + 1) * D11</f>
        <v>7500</v>
      </c>
      <c r="G11" s="33" t="n">
        <f aca="false">MAX(0, MIN(8, 999) - MAX(6, C11) + 1) * D11</f>
        <v>7500</v>
      </c>
      <c r="H11" s="33" t="n">
        <f aca="false">MAX(0, MIN(11, 999) - MAX(9, C11) + 1) * D11</f>
        <v>7500</v>
      </c>
      <c r="I11" s="33" t="n">
        <f aca="false">MAX(0, MIN(14, 999) - MAX(12, C11) + 1) * D11</f>
        <v>7500</v>
      </c>
      <c r="J11" s="33" t="n">
        <f aca="false">MAX(0, MIN(17, 999) - MAX(15, C11) + 1) * D11</f>
        <v>7500</v>
      </c>
      <c r="K11" s="33" t="n">
        <f aca="false">MAX(0, MIN(20, 999) - MAX(18, C11) + 1) * D11</f>
        <v>7500</v>
      </c>
      <c r="L11" s="33" t="n">
        <f aca="false">MAX(0, MIN(23, 999) - MAX(21, C11) + 1) * D11</f>
        <v>7500</v>
      </c>
      <c r="M11" s="33" t="n">
        <f aca="false">MAX(0, MIN(26, 999) - MAX(24, C11) + 1) * D11</f>
        <v>7500</v>
      </c>
      <c r="N11" s="34" t="n">
        <f aca="false">SUM(E11:M11)</f>
        <v>65000</v>
      </c>
    </row>
    <row r="12" customFormat="false" ht="15" hidden="false" customHeight="false" outlineLevel="0" collapsed="false">
      <c r="A12" s="14" t="n">
        <v>9</v>
      </c>
      <c r="B12" s="16" t="s">
        <v>142</v>
      </c>
      <c r="C12" s="13" t="n">
        <v>3</v>
      </c>
      <c r="D12" s="26" t="n">
        <v>2000</v>
      </c>
      <c r="E12" s="31" t="n">
        <f aca="false">MAX(0, MIN(2, 999) - MAX(1, C12) + 1) * D12</f>
        <v>0</v>
      </c>
      <c r="F12" s="31" t="n">
        <f aca="false">MAX(0, MIN(5, 999) - MAX(3, C12) + 1) * D12</f>
        <v>6000</v>
      </c>
      <c r="G12" s="31" t="n">
        <f aca="false">MAX(0, MIN(8, 999) - MAX(6, C12) + 1) * D12</f>
        <v>6000</v>
      </c>
      <c r="H12" s="31" t="n">
        <f aca="false">MAX(0, MIN(11, 999) - MAX(9, C12) + 1) * D12</f>
        <v>6000</v>
      </c>
      <c r="I12" s="31" t="n">
        <f aca="false">MAX(0, MIN(14, 999) - MAX(12, C12) + 1) * D12</f>
        <v>6000</v>
      </c>
      <c r="J12" s="31" t="n">
        <f aca="false">MAX(0, MIN(17, 999) - MAX(15, C12) + 1) * D12</f>
        <v>6000</v>
      </c>
      <c r="K12" s="31" t="n">
        <f aca="false">MAX(0, MIN(20, 999) - MAX(18, C12) + 1) * D12</f>
        <v>6000</v>
      </c>
      <c r="L12" s="31" t="n">
        <f aca="false">MAX(0, MIN(23, 999) - MAX(21, C12) + 1) * D12</f>
        <v>6000</v>
      </c>
      <c r="M12" s="31" t="n">
        <f aca="false">MAX(0, MIN(26, 999) - MAX(24, C12) + 1) * D12</f>
        <v>6000</v>
      </c>
      <c r="N12" s="32" t="n">
        <f aca="false">SUM(E12:M12)</f>
        <v>48000</v>
      </c>
    </row>
    <row r="14" customFormat="false" ht="15" hidden="false" customHeight="false" outlineLevel="0" collapsed="false">
      <c r="A14" s="28"/>
      <c r="B14" s="29" t="s">
        <v>143</v>
      </c>
      <c r="C14" s="28"/>
      <c r="D14" s="28"/>
      <c r="E14" s="30" t="n">
        <f aca="false">SUM(E4:E12)</f>
        <v>61000</v>
      </c>
      <c r="F14" s="30" t="n">
        <f aca="false">SUM(F4:F12)</f>
        <v>109500</v>
      </c>
      <c r="G14" s="30" t="n">
        <f aca="false">SUM(G4:G12)</f>
        <v>109500</v>
      </c>
      <c r="H14" s="30" t="n">
        <f aca="false">SUM(H4:H12)</f>
        <v>109500</v>
      </c>
      <c r="I14" s="30" t="n">
        <f aca="false">SUM(I4:I12)</f>
        <v>109500</v>
      </c>
      <c r="J14" s="30" t="n">
        <f aca="false">SUM(J4:J12)</f>
        <v>109500</v>
      </c>
      <c r="K14" s="30" t="n">
        <f aca="false">SUM(K4:K12)</f>
        <v>109500</v>
      </c>
      <c r="L14" s="30" t="n">
        <f aca="false">SUM(L4:L12)</f>
        <v>109500</v>
      </c>
      <c r="M14" s="30" t="n">
        <f aca="false">SUM(M4:M12)</f>
        <v>109500</v>
      </c>
      <c r="N14" s="30" t="n">
        <f aca="false">SUM(N4:N12)</f>
        <v>937000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13" min="5" style="0" width="15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11" t="s">
        <v>79</v>
      </c>
      <c r="B3" s="11" t="s">
        <v>133</v>
      </c>
      <c r="C3" s="11" t="s">
        <v>145</v>
      </c>
      <c r="D3" s="11" t="s">
        <v>146</v>
      </c>
      <c r="E3" s="11" t="s">
        <v>60</v>
      </c>
      <c r="F3" s="11" t="s">
        <v>62</v>
      </c>
      <c r="G3" s="11" t="s">
        <v>64</v>
      </c>
      <c r="H3" s="11" t="s">
        <v>66</v>
      </c>
      <c r="I3" s="11" t="s">
        <v>68</v>
      </c>
      <c r="J3" s="11" t="s">
        <v>70</v>
      </c>
      <c r="K3" s="11" t="s">
        <v>72</v>
      </c>
      <c r="L3" s="11" t="s">
        <v>74</v>
      </c>
      <c r="M3" s="11" t="s">
        <v>76</v>
      </c>
      <c r="N3" s="11" t="s">
        <v>121</v>
      </c>
    </row>
    <row r="4" customFormat="false" ht="15" hidden="false" customHeight="false" outlineLevel="0" collapsed="false">
      <c r="A4" s="14" t="n">
        <v>1</v>
      </c>
      <c r="B4" s="16" t="s">
        <v>147</v>
      </c>
      <c r="C4" s="13" t="n">
        <v>1</v>
      </c>
      <c r="D4" s="26" t="n">
        <v>160000</v>
      </c>
      <c r="E4" s="31" t="n">
        <f aca="false">IF(AND(C4&gt;=1, C4&lt;=2), D4, 0)</f>
        <v>160000</v>
      </c>
      <c r="F4" s="31" t="n">
        <f aca="false">IF(AND(C4&gt;=3, C4&lt;=5), D4, 0)</f>
        <v>0</v>
      </c>
      <c r="G4" s="31" t="n">
        <f aca="false">IF(AND(C4&gt;=6, C4&lt;=8), D4, 0)</f>
        <v>0</v>
      </c>
      <c r="H4" s="31" t="n">
        <f aca="false">IF(AND(C4&gt;=9, C4&lt;=11), D4, 0)</f>
        <v>0</v>
      </c>
      <c r="I4" s="31" t="n">
        <f aca="false">IF(AND(C4&gt;=12, C4&lt;=14), D4, 0)</f>
        <v>0</v>
      </c>
      <c r="J4" s="31" t="n">
        <f aca="false">IF(AND(C4&gt;=15, C4&lt;=17), D4, 0)</f>
        <v>0</v>
      </c>
      <c r="K4" s="31" t="n">
        <f aca="false">IF(AND(C4&gt;=18, C4&lt;=20), D4, 0)</f>
        <v>0</v>
      </c>
      <c r="L4" s="31" t="n">
        <f aca="false">IF(AND(C4&gt;=21, C4&lt;=23), D4, 0)</f>
        <v>0</v>
      </c>
      <c r="M4" s="31" t="n">
        <f aca="false">IF(AND(C4&gt;=24, C4&lt;=26), D4, 0)</f>
        <v>0</v>
      </c>
      <c r="N4" s="32" t="n">
        <f aca="false">SUM(E4:M4)</f>
        <v>160000</v>
      </c>
    </row>
    <row r="5" customFormat="false" ht="15" hidden="false" customHeight="false" outlineLevel="0" collapsed="false">
      <c r="A5" s="21" t="n">
        <v>2</v>
      </c>
      <c r="B5" s="22" t="s">
        <v>148</v>
      </c>
      <c r="C5" s="27" t="n">
        <v>3</v>
      </c>
      <c r="D5" s="24" t="n">
        <v>80000</v>
      </c>
      <c r="E5" s="33" t="n">
        <f aca="false">IF(AND(C5&gt;=1, C5&lt;=2), D5, 0)</f>
        <v>0</v>
      </c>
      <c r="F5" s="33" t="n">
        <f aca="false">IF(AND(C5&gt;=3, C5&lt;=5), D5, 0)</f>
        <v>80000</v>
      </c>
      <c r="G5" s="33" t="n">
        <f aca="false">IF(AND(C5&gt;=6, C5&lt;=8), D5, 0)</f>
        <v>0</v>
      </c>
      <c r="H5" s="33" t="n">
        <f aca="false">IF(AND(C5&gt;=9, C5&lt;=11), D5, 0)</f>
        <v>0</v>
      </c>
      <c r="I5" s="33" t="n">
        <f aca="false">IF(AND(C5&gt;=12, C5&lt;=14), D5, 0)</f>
        <v>0</v>
      </c>
      <c r="J5" s="33" t="n">
        <f aca="false">IF(AND(C5&gt;=15, C5&lt;=17), D5, 0)</f>
        <v>0</v>
      </c>
      <c r="K5" s="33" t="n">
        <f aca="false">IF(AND(C5&gt;=18, C5&lt;=20), D5, 0)</f>
        <v>0</v>
      </c>
      <c r="L5" s="33" t="n">
        <f aca="false">IF(AND(C5&gt;=21, C5&lt;=23), D5, 0)</f>
        <v>0</v>
      </c>
      <c r="M5" s="33" t="n">
        <f aca="false">IF(AND(C5&gt;=24, C5&lt;=26), D5, 0)</f>
        <v>0</v>
      </c>
      <c r="N5" s="34" t="n">
        <f aca="false">SUM(E5:M5)</f>
        <v>80000</v>
      </c>
    </row>
    <row r="6" customFormat="false" ht="15" hidden="false" customHeight="false" outlineLevel="0" collapsed="false">
      <c r="A6" s="14" t="n">
        <v>3</v>
      </c>
      <c r="B6" s="16" t="s">
        <v>149</v>
      </c>
      <c r="C6" s="13" t="n">
        <v>6</v>
      </c>
      <c r="D6" s="26" t="n">
        <v>160000</v>
      </c>
      <c r="E6" s="31" t="n">
        <f aca="false">IF(AND(C6&gt;=1, C6&lt;=2), D6, 0)</f>
        <v>0</v>
      </c>
      <c r="F6" s="31" t="n">
        <f aca="false">IF(AND(C6&gt;=3, C6&lt;=5), D6, 0)</f>
        <v>0</v>
      </c>
      <c r="G6" s="31" t="n">
        <f aca="false">IF(AND(C6&gt;=6, C6&lt;=8), D6, 0)</f>
        <v>160000</v>
      </c>
      <c r="H6" s="31" t="n">
        <f aca="false">IF(AND(C6&gt;=9, C6&lt;=11), D6, 0)</f>
        <v>0</v>
      </c>
      <c r="I6" s="31" t="n">
        <f aca="false">IF(AND(C6&gt;=12, C6&lt;=14), D6, 0)</f>
        <v>0</v>
      </c>
      <c r="J6" s="31" t="n">
        <f aca="false">IF(AND(C6&gt;=15, C6&lt;=17), D6, 0)</f>
        <v>0</v>
      </c>
      <c r="K6" s="31" t="n">
        <f aca="false">IF(AND(C6&gt;=18, C6&lt;=20), D6, 0)</f>
        <v>0</v>
      </c>
      <c r="L6" s="31" t="n">
        <f aca="false">IF(AND(C6&gt;=21, C6&lt;=23), D6, 0)</f>
        <v>0</v>
      </c>
      <c r="M6" s="31" t="n">
        <f aca="false">IF(AND(C6&gt;=24, C6&lt;=26), D6, 0)</f>
        <v>0</v>
      </c>
      <c r="N6" s="32" t="n">
        <f aca="false">SUM(E6:M6)</f>
        <v>160000</v>
      </c>
    </row>
    <row r="7" customFormat="false" ht="15" hidden="false" customHeight="false" outlineLevel="0" collapsed="false">
      <c r="A7" s="21" t="n">
        <v>4</v>
      </c>
      <c r="B7" s="22" t="s">
        <v>150</v>
      </c>
      <c r="C7" s="27" t="n">
        <v>1</v>
      </c>
      <c r="D7" s="24" t="n">
        <v>60000</v>
      </c>
      <c r="E7" s="33" t="n">
        <f aca="false">IF(AND(C7&gt;=1, C7&lt;=2), D7, 0)</f>
        <v>60000</v>
      </c>
      <c r="F7" s="33" t="n">
        <f aca="false">IF(AND(C7&gt;=3, C7&lt;=5), D7, 0)</f>
        <v>0</v>
      </c>
      <c r="G7" s="33" t="n">
        <f aca="false">IF(AND(C7&gt;=6, C7&lt;=8), D7, 0)</f>
        <v>0</v>
      </c>
      <c r="H7" s="33" t="n">
        <f aca="false">IF(AND(C7&gt;=9, C7&lt;=11), D7, 0)</f>
        <v>0</v>
      </c>
      <c r="I7" s="33" t="n">
        <f aca="false">IF(AND(C7&gt;=12, C7&lt;=14), D7, 0)</f>
        <v>0</v>
      </c>
      <c r="J7" s="33" t="n">
        <f aca="false">IF(AND(C7&gt;=15, C7&lt;=17), D7, 0)</f>
        <v>0</v>
      </c>
      <c r="K7" s="33" t="n">
        <f aca="false">IF(AND(C7&gt;=18, C7&lt;=20), D7, 0)</f>
        <v>0</v>
      </c>
      <c r="L7" s="33" t="n">
        <f aca="false">IF(AND(C7&gt;=21, C7&lt;=23), D7, 0)</f>
        <v>0</v>
      </c>
      <c r="M7" s="33" t="n">
        <f aca="false">IF(AND(C7&gt;=24, C7&lt;=26), D7, 0)</f>
        <v>0</v>
      </c>
      <c r="N7" s="34" t="n">
        <f aca="false">SUM(E7:M7)</f>
        <v>60000</v>
      </c>
    </row>
    <row r="8" customFormat="false" ht="15" hidden="false" customHeight="false" outlineLevel="0" collapsed="false">
      <c r="A8" s="14" t="n">
        <v>5</v>
      </c>
      <c r="B8" s="16" t="s">
        <v>151</v>
      </c>
      <c r="C8" s="13" t="n">
        <v>1</v>
      </c>
      <c r="D8" s="26" t="n">
        <v>40000</v>
      </c>
      <c r="E8" s="31" t="n">
        <f aca="false">IF(AND(C8&gt;=1, C8&lt;=2), D8, 0)</f>
        <v>40000</v>
      </c>
      <c r="F8" s="31" t="n">
        <f aca="false">IF(AND(C8&gt;=3, C8&lt;=5), D8, 0)</f>
        <v>0</v>
      </c>
      <c r="G8" s="31" t="n">
        <f aca="false">IF(AND(C8&gt;=6, C8&lt;=8), D8, 0)</f>
        <v>0</v>
      </c>
      <c r="H8" s="31" t="n">
        <f aca="false">IF(AND(C8&gt;=9, C8&lt;=11), D8, 0)</f>
        <v>0</v>
      </c>
      <c r="I8" s="31" t="n">
        <f aca="false">IF(AND(C8&gt;=12, C8&lt;=14), D8, 0)</f>
        <v>0</v>
      </c>
      <c r="J8" s="31" t="n">
        <f aca="false">IF(AND(C8&gt;=15, C8&lt;=17), D8, 0)</f>
        <v>0</v>
      </c>
      <c r="K8" s="31" t="n">
        <f aca="false">IF(AND(C8&gt;=18, C8&lt;=20), D8, 0)</f>
        <v>0</v>
      </c>
      <c r="L8" s="31" t="n">
        <f aca="false">IF(AND(C8&gt;=21, C8&lt;=23), D8, 0)</f>
        <v>0</v>
      </c>
      <c r="M8" s="31" t="n">
        <f aca="false">IF(AND(C8&gt;=24, C8&lt;=26), D8, 0)</f>
        <v>0</v>
      </c>
      <c r="N8" s="32" t="n">
        <f aca="false">SUM(E8:M8)</f>
        <v>40000</v>
      </c>
    </row>
    <row r="9" customFormat="false" ht="15" hidden="false" customHeight="false" outlineLevel="0" collapsed="false">
      <c r="A9" s="21" t="n">
        <v>6</v>
      </c>
      <c r="B9" s="22" t="s">
        <v>152</v>
      </c>
      <c r="C9" s="27" t="n">
        <v>12</v>
      </c>
      <c r="D9" s="24" t="n">
        <v>50000</v>
      </c>
      <c r="E9" s="33" t="n">
        <f aca="false">IF(AND(C9&gt;=1, C9&lt;=2), D9, 0)</f>
        <v>0</v>
      </c>
      <c r="F9" s="33" t="n">
        <f aca="false">IF(AND(C9&gt;=3, C9&lt;=5), D9, 0)</f>
        <v>0</v>
      </c>
      <c r="G9" s="33" t="n">
        <f aca="false">IF(AND(C9&gt;=6, C9&lt;=8), D9, 0)</f>
        <v>0</v>
      </c>
      <c r="H9" s="33" t="n">
        <f aca="false">IF(AND(C9&gt;=9, C9&lt;=11), D9, 0)</f>
        <v>0</v>
      </c>
      <c r="I9" s="33" t="n">
        <f aca="false">IF(AND(C9&gt;=12, C9&lt;=14), D9, 0)</f>
        <v>50000</v>
      </c>
      <c r="J9" s="33" t="n">
        <f aca="false">IF(AND(C9&gt;=15, C9&lt;=17), D9, 0)</f>
        <v>0</v>
      </c>
      <c r="K9" s="33" t="n">
        <f aca="false">IF(AND(C9&gt;=18, C9&lt;=20), D9, 0)</f>
        <v>0</v>
      </c>
      <c r="L9" s="33" t="n">
        <f aca="false">IF(AND(C9&gt;=21, C9&lt;=23), D9, 0)</f>
        <v>0</v>
      </c>
      <c r="M9" s="33" t="n">
        <f aca="false">IF(AND(C9&gt;=24, C9&lt;=26), D9, 0)</f>
        <v>0</v>
      </c>
      <c r="N9" s="34" t="n">
        <f aca="false">SUM(E9:M9)</f>
        <v>50000</v>
      </c>
    </row>
    <row r="11" customFormat="false" ht="15" hidden="false" customHeight="false" outlineLevel="0" collapsed="false">
      <c r="A11" s="28"/>
      <c r="B11" s="29" t="s">
        <v>153</v>
      </c>
      <c r="C11" s="28"/>
      <c r="D11" s="28"/>
      <c r="E11" s="30" t="n">
        <f aca="false">SUM(E4:E9)</f>
        <v>260000</v>
      </c>
      <c r="F11" s="30" t="n">
        <f aca="false">SUM(F4:F9)</f>
        <v>80000</v>
      </c>
      <c r="G11" s="30" t="n">
        <f aca="false">SUM(G4:G9)</f>
        <v>160000</v>
      </c>
      <c r="H11" s="30" t="n">
        <f aca="false">SUM(H4:H9)</f>
        <v>0</v>
      </c>
      <c r="I11" s="30" t="n">
        <f aca="false">SUM(I4:I9)</f>
        <v>50000</v>
      </c>
      <c r="J11" s="30" t="n">
        <f aca="false">SUM(J4:J9)</f>
        <v>0</v>
      </c>
      <c r="K11" s="30" t="n">
        <f aca="false">SUM(K4:K9)</f>
        <v>0</v>
      </c>
      <c r="L11" s="30" t="n">
        <f aca="false">SUM(L4:L9)</f>
        <v>0</v>
      </c>
      <c r="M11" s="30" t="n">
        <f aca="false">SUM(M4:M9)</f>
        <v>0</v>
      </c>
      <c r="N11" s="30" t="n">
        <f aca="false">SUM(N4:N9)</f>
        <v>550000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11" min="3" style="0" width="15"/>
    <col collapsed="false" customWidth="true" hidden="false" outlineLevel="0" max="12" min="12" style="0" width="20"/>
  </cols>
  <sheetData>
    <row r="1" customFormat="false" ht="27.7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11" t="s">
        <v>79</v>
      </c>
      <c r="B3" s="11" t="s">
        <v>155</v>
      </c>
      <c r="C3" s="11" t="s">
        <v>60</v>
      </c>
      <c r="D3" s="11" t="s">
        <v>62</v>
      </c>
      <c r="E3" s="11" t="s">
        <v>64</v>
      </c>
      <c r="F3" s="11" t="s">
        <v>66</v>
      </c>
      <c r="G3" s="11" t="s">
        <v>68</v>
      </c>
      <c r="H3" s="11" t="s">
        <v>70</v>
      </c>
      <c r="I3" s="11" t="s">
        <v>72</v>
      </c>
      <c r="J3" s="11" t="s">
        <v>74</v>
      </c>
      <c r="K3" s="11" t="s">
        <v>76</v>
      </c>
      <c r="L3" s="11" t="s">
        <v>121</v>
      </c>
    </row>
    <row r="4" customFormat="false" ht="15" hidden="false" customHeight="false" outlineLevel="0" collapsed="false">
      <c r="A4" s="14" t="n">
        <v>1</v>
      </c>
      <c r="B4" s="35" t="s">
        <v>156</v>
      </c>
      <c r="C4" s="20" t="n">
        <f aca="false">'Salary Schedule'!D17</f>
        <v>252000</v>
      </c>
      <c r="D4" s="20" t="n">
        <f aca="false">'Salary Schedule'!E17</f>
        <v>1044000</v>
      </c>
      <c r="E4" s="20" t="n">
        <f aca="false">'Salary Schedule'!F17</f>
        <v>1342800</v>
      </c>
      <c r="F4" s="20" t="n">
        <f aca="false">'Salary Schedule'!G17</f>
        <v>1342800</v>
      </c>
      <c r="G4" s="20" t="n">
        <f aca="false">'Salary Schedule'!H17</f>
        <v>1342800</v>
      </c>
      <c r="H4" s="20" t="n">
        <f aca="false">'Salary Schedule'!I17</f>
        <v>1342800</v>
      </c>
      <c r="I4" s="20" t="n">
        <f aca="false">'Salary Schedule'!J17</f>
        <v>1342800</v>
      </c>
      <c r="J4" s="20" t="n">
        <f aca="false">'Salary Schedule'!K17</f>
        <v>1342800</v>
      </c>
      <c r="K4" s="20" t="n">
        <f aca="false">'Salary Schedule'!L17</f>
        <v>1342800</v>
      </c>
      <c r="L4" s="32" t="n">
        <f aca="false">SUM(C4:K4)</f>
        <v>10695600</v>
      </c>
    </row>
    <row r="5" customFormat="false" ht="15" hidden="false" customHeight="false" outlineLevel="0" collapsed="false">
      <c r="A5" s="21" t="n">
        <v>2</v>
      </c>
      <c r="B5" s="36" t="s">
        <v>157</v>
      </c>
      <c r="C5" s="25" t="n">
        <f aca="false">Contractors!F9</f>
        <v>30000</v>
      </c>
      <c r="D5" s="25" t="n">
        <f aca="false">Contractors!G9</f>
        <v>95000</v>
      </c>
      <c r="E5" s="25" t="n">
        <f aca="false">Contractors!H9</f>
        <v>15000</v>
      </c>
      <c r="F5" s="25" t="n">
        <f aca="false">Contractors!I9</f>
        <v>60000</v>
      </c>
      <c r="G5" s="25" t="n">
        <f aca="false">Contractors!J9</f>
        <v>0</v>
      </c>
      <c r="H5" s="25" t="n">
        <f aca="false">Contractors!K9</f>
        <v>0</v>
      </c>
      <c r="I5" s="25" t="n">
        <f aca="false">Contractors!L9</f>
        <v>0</v>
      </c>
      <c r="J5" s="25" t="n">
        <f aca="false">Contractors!M9</f>
        <v>0</v>
      </c>
      <c r="K5" s="25" t="n">
        <f aca="false">Contractors!N9</f>
        <v>0</v>
      </c>
      <c r="L5" s="34" t="n">
        <f aca="false">SUM(C5:K5)</f>
        <v>200000</v>
      </c>
    </row>
    <row r="6" customFormat="false" ht="15" hidden="false" customHeight="false" outlineLevel="0" collapsed="false">
      <c r="A6" s="14" t="n">
        <v>3</v>
      </c>
      <c r="B6" s="35" t="s">
        <v>158</v>
      </c>
      <c r="C6" s="20" t="n">
        <f aca="false">'Software &amp; Infra'!E14</f>
        <v>61000</v>
      </c>
      <c r="D6" s="20" t="n">
        <f aca="false">'Software &amp; Infra'!F14</f>
        <v>109500</v>
      </c>
      <c r="E6" s="20" t="n">
        <f aca="false">'Software &amp; Infra'!G14</f>
        <v>109500</v>
      </c>
      <c r="F6" s="20" t="n">
        <f aca="false">'Software &amp; Infra'!H14</f>
        <v>109500</v>
      </c>
      <c r="G6" s="20" t="n">
        <f aca="false">'Software &amp; Infra'!I14</f>
        <v>109500</v>
      </c>
      <c r="H6" s="20" t="n">
        <f aca="false">'Software &amp; Infra'!J14</f>
        <v>109500</v>
      </c>
      <c r="I6" s="20" t="n">
        <f aca="false">'Software &amp; Infra'!K14</f>
        <v>109500</v>
      </c>
      <c r="J6" s="20" t="n">
        <f aca="false">'Software &amp; Infra'!L14</f>
        <v>109500</v>
      </c>
      <c r="K6" s="20" t="n">
        <f aca="false">'Software &amp; Infra'!M14</f>
        <v>109500</v>
      </c>
      <c r="L6" s="32" t="n">
        <f aca="false">SUM(C6:K6)</f>
        <v>937000</v>
      </c>
    </row>
    <row r="7" customFormat="false" ht="15" hidden="false" customHeight="false" outlineLevel="0" collapsed="false">
      <c r="A7" s="21" t="n">
        <v>4</v>
      </c>
      <c r="B7" s="36" t="s">
        <v>159</v>
      </c>
      <c r="C7" s="25" t="n">
        <f aca="false">'Hardware &amp; Setup'!E11</f>
        <v>260000</v>
      </c>
      <c r="D7" s="25" t="n">
        <f aca="false">'Hardware &amp; Setup'!F11</f>
        <v>80000</v>
      </c>
      <c r="E7" s="25" t="n">
        <f aca="false">'Hardware &amp; Setup'!G11</f>
        <v>160000</v>
      </c>
      <c r="F7" s="25" t="n">
        <f aca="false">'Hardware &amp; Setup'!H11</f>
        <v>0</v>
      </c>
      <c r="G7" s="25" t="n">
        <f aca="false">'Hardware &amp; Setup'!I11</f>
        <v>50000</v>
      </c>
      <c r="H7" s="25" t="n">
        <f aca="false">'Hardware &amp; Setup'!J11</f>
        <v>0</v>
      </c>
      <c r="I7" s="25" t="n">
        <f aca="false">'Hardware &amp; Setup'!K11</f>
        <v>0</v>
      </c>
      <c r="J7" s="25" t="n">
        <f aca="false">'Hardware &amp; Setup'!L11</f>
        <v>0</v>
      </c>
      <c r="K7" s="25" t="n">
        <f aca="false">'Hardware &amp; Setup'!M11</f>
        <v>0</v>
      </c>
      <c r="L7" s="34" t="n">
        <f aca="false">SUM(C7:K7)</f>
        <v>550000</v>
      </c>
    </row>
    <row r="9" customFormat="false" ht="15" hidden="false" customHeight="false" outlineLevel="0" collapsed="false">
      <c r="A9" s="37"/>
      <c r="B9" s="37" t="s">
        <v>160</v>
      </c>
      <c r="C9" s="38" t="n">
        <f aca="false">SUM(C4:C7)</f>
        <v>603000</v>
      </c>
      <c r="D9" s="38" t="n">
        <f aca="false">SUM(D4:D7)</f>
        <v>1328500</v>
      </c>
      <c r="E9" s="38" t="n">
        <f aca="false">SUM(E4:E7)</f>
        <v>1627300</v>
      </c>
      <c r="F9" s="38" t="n">
        <f aca="false">SUM(F4:F7)</f>
        <v>1512300</v>
      </c>
      <c r="G9" s="38" t="n">
        <f aca="false">SUM(G4:G7)</f>
        <v>1502300</v>
      </c>
      <c r="H9" s="38" t="n">
        <f aca="false">SUM(H4:H7)</f>
        <v>1452300</v>
      </c>
      <c r="I9" s="38" t="n">
        <f aca="false">SUM(I4:I7)</f>
        <v>1452300</v>
      </c>
      <c r="J9" s="38" t="n">
        <f aca="false">SUM(J4:J7)</f>
        <v>1452300</v>
      </c>
      <c r="K9" s="38" t="n">
        <f aca="false">SUM(K4:K7)</f>
        <v>1452300</v>
      </c>
      <c r="L9" s="38" t="n">
        <f aca="false">SUM(L4:L7)</f>
        <v>12382600</v>
      </c>
    </row>
    <row r="11" customFormat="false" ht="15" hidden="false" customHeight="false" outlineLevel="0" collapsed="false">
      <c r="A11" s="28"/>
      <c r="B11" s="29" t="s">
        <v>161</v>
      </c>
      <c r="C11" s="39" t="n">
        <f aca="false">C9</f>
        <v>603000</v>
      </c>
      <c r="D11" s="39" t="n">
        <f aca="false">C11+D9</f>
        <v>1931500</v>
      </c>
      <c r="E11" s="39" t="n">
        <f aca="false">D11+E9</f>
        <v>3558800</v>
      </c>
      <c r="F11" s="39" t="n">
        <f aca="false">E11+F9</f>
        <v>5071100</v>
      </c>
      <c r="G11" s="39" t="n">
        <f aca="false">F11+G9</f>
        <v>6573400</v>
      </c>
      <c r="H11" s="39" t="n">
        <f aca="false">G11+H9</f>
        <v>8025700</v>
      </c>
      <c r="I11" s="39" t="n">
        <f aca="false">H11+I9</f>
        <v>9478000</v>
      </c>
      <c r="J11" s="39" t="n">
        <f aca="false">I11+J9</f>
        <v>10930300</v>
      </c>
      <c r="K11" s="39" t="n">
        <f aca="false">J11+K9</f>
        <v>12382600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2026-04-19T11:28:05Z</dcterms:created>
  <dc:creator>openpyxl</dc:creator>
  <dc:description/>
  <dc:language>en-US</dc:language>
  <cp:lastModifiedBy/>
  <dcterms:modified xsi:type="dcterms:W3CDTF">2026-04-19T11:28:05Z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