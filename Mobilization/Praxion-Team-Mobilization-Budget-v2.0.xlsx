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eam Roster" sheetId="3" state="visible" r:id="rId5"/>
    <sheet name="Salary Schedule" sheetId="4" state="visible" r:id="rId6"/>
    <sheet name="Contractors" sheetId="5" state="visible" r:id="rId7"/>
    <sheet name="Software &amp; Infra" sheetId="6" state="visible" r:id="rId8"/>
    <sheet name="Hardware &amp; Setup" sheetId="7" state="visible" r:id="rId9"/>
    <sheet name="Quarterly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Placeholder — fee model TBD with Egybell</t>
        </r>
      </text>
    </comment>
    <comment ref="B5" authorId="0">
      <text>
        <r>
          <rPr>
            <sz val="10"/>
            <rFont val="Arial"/>
            <family val="2"/>
          </rPr>
          <t xml:space="preserve">Placeholder — spot engagement</t>
        </r>
      </text>
    </comment>
    <comment ref="B6" authorId="0">
      <text>
        <r>
          <rPr>
            <sz val="10"/>
            <rFont val="Arial"/>
            <family val="2"/>
          </rPr>
          <t xml:space="preserve">Placeholder — pre-launch audit, typically USD-priced</t>
        </r>
      </text>
    </comment>
    <comment ref="B7" authorId="0">
      <text>
        <r>
          <rPr>
            <sz val="10"/>
            <rFont val="Arial"/>
            <family val="2"/>
          </rPr>
          <t xml:space="preserve">Placeholder — retainer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Placeholder — starts small, scales with usage</t>
        </r>
      </text>
    </comment>
    <comment ref="B5" authorId="0">
      <text>
        <r>
          <rPr>
            <sz val="10"/>
            <rFont val="Arial"/>
            <family val="2"/>
          </rPr>
          <t xml:space="preserve">Placeholder</t>
        </r>
      </text>
    </comment>
    <comment ref="B6" authorId="0">
      <text>
        <r>
          <rPr>
            <sz val="10"/>
            <rFont val="Arial"/>
            <family val="2"/>
          </rPr>
          <t xml:space="preserve">Placeholder — per-seat</t>
        </r>
      </text>
    </comment>
    <comment ref="B7" authorId="0">
      <text>
        <r>
          <rPr>
            <sz val="10"/>
            <rFont val="Arial"/>
            <family val="2"/>
          </rPr>
          <t xml:space="preserve">Placeholder</t>
        </r>
      </text>
    </comment>
    <comment ref="B8" authorId="0">
      <text>
        <r>
          <rPr>
            <sz val="10"/>
            <rFont val="Arial"/>
            <family val="2"/>
          </rPr>
          <t xml:space="preserve">Placeholder</t>
        </r>
      </text>
    </comment>
    <comment ref="B9" authorId="0">
      <text>
        <r>
          <rPr>
            <sz val="10"/>
            <rFont val="Arial"/>
            <family val="2"/>
          </rPr>
          <t xml:space="preserve">Placeholder</t>
        </r>
      </text>
    </comment>
    <comment ref="B10" authorId="0">
      <text>
        <r>
          <rPr>
            <sz val="10"/>
            <rFont val="Arial"/>
            <family val="2"/>
          </rPr>
          <t xml:space="preserve">Placeholder</t>
        </r>
      </text>
    </comment>
    <comment ref="B11" authorId="0">
      <text>
        <r>
          <rPr>
            <sz val="10"/>
            <rFont val="Arial"/>
            <family val="2"/>
          </rPr>
          <t xml:space="preserve">Placeholder</t>
        </r>
      </text>
    </comment>
    <comment ref="B12" authorId="0">
      <text>
        <r>
          <rPr>
            <sz val="10"/>
            <rFont val="Arial"/>
            <family val="2"/>
          </rPr>
          <t xml:space="preserve">Placeholder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4 × ~$1,200 — Sabry, Khaled, Rodaina, Ehab</t>
        </r>
      </text>
    </comment>
    <comment ref="B5" authorId="0">
      <text>
        <r>
          <rPr>
            <sz val="10"/>
            <rFont val="Arial"/>
            <family val="2"/>
          </rPr>
          <t xml:space="preserve">FE + BE senior devs</t>
        </r>
      </text>
    </comment>
    <comment ref="B6" authorId="0">
      <text>
        <r>
          <rPr>
            <sz val="10"/>
            <rFont val="Arial"/>
            <family val="2"/>
          </rPr>
          <t xml:space="preserve">QA, DevOps, mid FE, mid BE</t>
        </r>
      </text>
    </comment>
    <comment ref="B7" authorId="0">
      <text>
        <r>
          <rPr>
            <sz val="10"/>
            <rFont val="Arial"/>
            <family val="2"/>
          </rPr>
          <t xml:space="preserve">Displays, keyboards, accessories</t>
        </r>
      </text>
    </comment>
    <comment ref="B8" authorId="0">
      <text>
        <r>
          <rPr>
            <sz val="10"/>
            <rFont val="Arial"/>
            <family val="2"/>
          </rPr>
          <t xml:space="preserve">Desks, chairs, cameras</t>
        </r>
      </text>
    </comment>
    <comment ref="B9" authorId="0">
      <text>
        <r>
          <rPr>
            <sz val="10"/>
            <rFont val="Arial"/>
            <family val="2"/>
          </rPr>
          <t xml:space="preserve">Reserve for Year 2</t>
        </r>
      </text>
    </comment>
  </commentList>
</comments>
</file>

<file path=xl/sharedStrings.xml><?xml version="1.0" encoding="utf-8"?>
<sst xmlns="http://schemas.openxmlformats.org/spreadsheetml/2006/main" count="345" uniqueCount="199">
  <si>
    <t xml:space="preserve">  PRAXION HROS — Team Mobilization &amp; Expense Budget</t>
  </si>
  <si>
    <t xml:space="preserve">Document</t>
  </si>
  <si>
    <t xml:space="preserve">Praxion HROS — Team Mobilization, Salaries &amp; Expenses</t>
  </si>
  <si>
    <t xml:space="preserve">Version</t>
  </si>
  <si>
    <t xml:space="preserve">v2.0  (USD reporting + native currency preserved)</t>
  </si>
  <si>
    <t xml:space="preserve">Prepared</t>
  </si>
  <si>
    <t xml:space="preserve">2026-04-19</t>
  </si>
  <si>
    <t xml:space="preserve">Owner</t>
  </si>
  <si>
    <t xml:space="preserve">Mohamed Sabry — CEO / Product Owner</t>
  </si>
  <si>
    <t xml:space="preserve">Main currency</t>
  </si>
  <si>
    <t xml:space="preserve">USD  (every number is also shown in native currency)</t>
  </si>
  <si>
    <t xml:space="preserve">Native currencies supported</t>
  </si>
  <si>
    <t xml:space="preserve">USD, EGP, EUR, GBP, AED, SAR</t>
  </si>
  <si>
    <t xml:space="preserve">Horizon</t>
  </si>
  <si>
    <t xml:space="preserve">Q2 2026 (May) → Q2 2028  (9 quarters)</t>
  </si>
  <si>
    <t xml:space="preserve">  Workbook Contents</t>
  </si>
  <si>
    <t xml:space="preserve">Assumptions</t>
  </si>
  <si>
    <t xml:space="preserve">FX rates per native currency, benefits loading, quarter map</t>
  </si>
  <si>
    <t xml:space="preserve">Team Roster</t>
  </si>
  <si>
    <t xml:space="preserve">Every role with native + USD loaded monthly cost</t>
  </si>
  <si>
    <t xml:space="preserve">Salary Schedule</t>
  </si>
  <si>
    <t xml:space="preserve">Quarterly salary cost per person — USD primary, native totals</t>
  </si>
  <si>
    <t xml:space="preserve">Contractors</t>
  </si>
  <si>
    <t xml:space="preserve">Vendor/freelance engagements by quarter in USD</t>
  </si>
  <si>
    <t xml:space="preserve">Software &amp; Infra</t>
  </si>
  <si>
    <t xml:space="preserve">Recurring software, cloud &amp; tooling spend (USD)</t>
  </si>
  <si>
    <t xml:space="preserve">Hardware &amp; Setup</t>
  </si>
  <si>
    <t xml:space="preserve">One-off equipment &amp; setup purchases (USD)</t>
  </si>
  <si>
    <t xml:space="preserve">Quarterly Summary</t>
  </si>
  <si>
    <t xml:space="preserve">All-category roll-up — USD + native sub-totals + cumulative</t>
  </si>
  <si>
    <t xml:space="preserve">  Colour Legend</t>
  </si>
  <si>
    <t xml:space="preserve">Blue text</t>
  </si>
  <si>
    <t xml:space="preserve">Hardcoded input — change to run scenarios</t>
  </si>
  <si>
    <t xml:space="preserve">Black text</t>
  </si>
  <si>
    <t xml:space="preserve">Formula / calculated value</t>
  </si>
  <si>
    <t xml:space="preserve">Green text</t>
  </si>
  <si>
    <t xml:space="preserve">Cross-sheet reference</t>
  </si>
  <si>
    <t xml:space="preserve">Yellow fill</t>
  </si>
  <si>
    <t xml:space="preserve">Placeholder — needs your input</t>
  </si>
  <si>
    <t xml:space="preserve">  Notes</t>
  </si>
  <si>
    <t xml:space="preserve">• USD is the reporting currency. Every monetary number is shown in both native and USD.</t>
  </si>
  <si>
    <t xml:space="preserve">• Native salaries stay in local currency (reality of local payroll) — USD derived via FX.</t>
  </si>
  <si>
    <t xml:space="preserve">• All FX rates live on the Assumptions tab; change one cell to reprice the entire model.</t>
  </si>
  <si>
    <t xml:space="preserve">• Salaries are shown FULLY LOADED (base + benefits loading from Assumptions).</t>
  </si>
  <si>
    <t xml:space="preserve">• Start months align to Assumptions!Month_Map — month 1 = May 2026.</t>
  </si>
  <si>
    <t xml:space="preserve">• Update only the blue input cells — formulas propagate automatically.</t>
  </si>
  <si>
    <t xml:space="preserve">  Assumptions &amp; Inputs</t>
  </si>
  <si>
    <t xml:space="preserve">Key</t>
  </si>
  <si>
    <t xml:space="preserve">Value</t>
  </si>
  <si>
    <t xml:space="preserve">Notes</t>
  </si>
  <si>
    <t xml:space="preserve">Benefits loading (% of base)</t>
  </si>
  <si>
    <t xml:space="preserve">Social insurance, medical, EOS accrual — adjust to company policy</t>
  </si>
  <si>
    <t xml:space="preserve">Annual raise assumption</t>
  </si>
  <si>
    <t xml:space="preserve">Not yet applied in schedule — reserved for future version</t>
  </si>
  <si>
    <t xml:space="preserve">Month 1 anchor</t>
  </si>
  <si>
    <t xml:space="preserve">May 2026</t>
  </si>
  <si>
    <t xml:space="preserve">All StartMonthIdx references count from here</t>
  </si>
  <si>
    <t xml:space="preserve">  FX Rates  (units of Native per 1 USD — edit to reprice model)</t>
  </si>
  <si>
    <t xml:space="preserve">Currency Code</t>
  </si>
  <si>
    <t xml:space="preserve">Currency Name</t>
  </si>
  <si>
    <t xml:space="preserve">Native per USD</t>
  </si>
  <si>
    <t xml:space="preserve">USD per Native</t>
  </si>
  <si>
    <t xml:space="preserve">Sample (100 native → USD)</t>
  </si>
  <si>
    <t xml:space="preserve">USD</t>
  </si>
  <si>
    <t xml:space="preserve">US Dollar</t>
  </si>
  <si>
    <t xml:space="preserve">Base currency</t>
  </si>
  <si>
    <t xml:space="preserve">EGP</t>
  </si>
  <si>
    <t xml:space="preserve">Egyptian Pound</t>
  </si>
  <si>
    <t xml:space="preserve">Edit Column C to update FX rate</t>
  </si>
  <si>
    <t xml:space="preserve">EUR</t>
  </si>
  <si>
    <t xml:space="preserve">Euro</t>
  </si>
  <si>
    <t xml:space="preserve">GBP</t>
  </si>
  <si>
    <t xml:space="preserve">British Pound</t>
  </si>
  <si>
    <t xml:space="preserve">AED</t>
  </si>
  <si>
    <t xml:space="preserve">UAE Dirham</t>
  </si>
  <si>
    <t xml:space="preserve">SAR</t>
  </si>
  <si>
    <t xml:space="preserve">Saudi Riyal</t>
  </si>
  <si>
    <t xml:space="preserve">  Quarter → Month Index Map</t>
  </si>
  <si>
    <t xml:space="preserve">Quarter</t>
  </si>
  <si>
    <t xml:space="preserve">Start Month Idx</t>
  </si>
  <si>
    <t xml:space="preserve">End Month Idx</t>
  </si>
  <si>
    <t xml:space="preserve"># Months</t>
  </si>
  <si>
    <t xml:space="preserve">Period</t>
  </si>
  <si>
    <t xml:space="preserve">Q2 2026</t>
  </si>
  <si>
    <t xml:space="preserve">May–Jun 2026</t>
  </si>
  <si>
    <t xml:space="preserve">Q3 2026</t>
  </si>
  <si>
    <t xml:space="preserve">Jul–Sep 2026</t>
  </si>
  <si>
    <t xml:space="preserve">Q4 2026</t>
  </si>
  <si>
    <t xml:space="preserve">Oct–Dec 2026</t>
  </si>
  <si>
    <t xml:space="preserve">Q1 2027</t>
  </si>
  <si>
    <t xml:space="preserve">Jan–Mar 2027</t>
  </si>
  <si>
    <t xml:space="preserve">Q2 2027</t>
  </si>
  <si>
    <t xml:space="preserve">Apr–Jun 2027</t>
  </si>
  <si>
    <t xml:space="preserve">Q3 2027</t>
  </si>
  <si>
    <t xml:space="preserve">Jul–Sep 2027</t>
  </si>
  <si>
    <t xml:space="preserve">Q4 2027</t>
  </si>
  <si>
    <t xml:space="preserve">Oct–Dec 2027</t>
  </si>
  <si>
    <t xml:space="preserve">Q1 2028</t>
  </si>
  <si>
    <t xml:space="preserve">Jan–Mar 2028</t>
  </si>
  <si>
    <t xml:space="preserve">Q2 2028</t>
  </si>
  <si>
    <t xml:space="preserve">Apr–Jun 2028</t>
  </si>
  <si>
    <t xml:space="preserve">  Team Roster — Native &amp; USD</t>
  </si>
  <si>
    <t xml:space="preserve">#</t>
  </si>
  <si>
    <t xml:space="preserve">Name</t>
  </si>
  <si>
    <t xml:space="preserve">Role</t>
  </si>
  <si>
    <t xml:space="preserve">Status</t>
  </si>
  <si>
    <t xml:space="preserve">Start Period</t>
  </si>
  <si>
    <t xml:space="preserve">Cur</t>
  </si>
  <si>
    <t xml:space="preserve">NATIVE (local currency)</t>
  </si>
  <si>
    <t xml:space="preserve">USD  (reporting)</t>
  </si>
  <si>
    <t xml:space="preserve">Base Monthly</t>
  </si>
  <si>
    <t xml:space="preserve">Loaded Monthly</t>
  </si>
  <si>
    <t xml:space="preserve">Mohamed Sabry</t>
  </si>
  <si>
    <t xml:space="preserve">CEO / Product Owner</t>
  </si>
  <si>
    <t xml:space="preserve">Active</t>
  </si>
  <si>
    <t xml:space="preserve">Placeholder salary — to be filled</t>
  </si>
  <si>
    <t xml:space="preserve">Khaled Nehad</t>
  </si>
  <si>
    <t xml:space="preserve">CTO</t>
  </si>
  <si>
    <t xml:space="preserve">Rodaina Ehabi</t>
  </si>
  <si>
    <t xml:space="preserve">Egybell Liaison / Delivery Coord.</t>
  </si>
  <si>
    <t xml:space="preserve">Interfaces with Egybell for data collection &amp; sign-off</t>
  </si>
  <si>
    <t xml:space="preserve">Ehab Hafez</t>
  </si>
  <si>
    <t xml:space="preserve">UI/UX Developer</t>
  </si>
  <si>
    <t xml:space="preserve">TBH — Senior FE Developer</t>
  </si>
  <si>
    <t xml:space="preserve">Senior Frontend Developer</t>
  </si>
  <si>
    <t xml:space="preserve">To Be Hired</t>
  </si>
  <si>
    <t xml:space="preserve">Placeholder rate — adjust once offer is finalised</t>
  </si>
  <si>
    <t xml:space="preserve">TBH — Senior BE Developer</t>
  </si>
  <si>
    <t xml:space="preserve">Senior Backend Developer</t>
  </si>
  <si>
    <t xml:space="preserve">TBH — QA Engineer</t>
  </si>
  <si>
    <t xml:space="preserve">QA / Test Engineer</t>
  </si>
  <si>
    <t xml:space="preserve">Placeholder</t>
  </si>
  <si>
    <t xml:space="preserve">Placeholder rate</t>
  </si>
  <si>
    <t xml:space="preserve">TBH — DevOps / Cloud Eng.</t>
  </si>
  <si>
    <t xml:space="preserve">DevOps &amp; Cloud Engineer</t>
  </si>
  <si>
    <t xml:space="preserve">TBH — Mid FE Developer</t>
  </si>
  <si>
    <t xml:space="preserve">Mid Frontend Developer</t>
  </si>
  <si>
    <t xml:space="preserve">Placeholder rate — needed as scope grows</t>
  </si>
  <si>
    <t xml:space="preserve">TBH — Mid BE Developer</t>
  </si>
  <si>
    <t xml:space="preserve">Mid Backend Developer</t>
  </si>
  <si>
    <t xml:space="preserve">TBH — Business Analyst</t>
  </si>
  <si>
    <t xml:space="preserve">Business Analyst</t>
  </si>
  <si>
    <t xml:space="preserve">TBH — Project Manager</t>
  </si>
  <si>
    <t xml:space="preserve">Project Manager / Scrum</t>
  </si>
  <si>
    <t xml:space="preserve">TOTAL MONTHLY (FULLY LOADED) — USD</t>
  </si>
  <si>
    <t xml:space="preserve">  Salary Schedule — Quarterly (USD, fully loaded)</t>
  </si>
  <si>
    <t xml:space="preserve">Loaded USD Monthly</t>
  </si>
  <si>
    <t xml:space="preserve">Total</t>
  </si>
  <si>
    <t xml:space="preserve">TOTAL SALARIES (USD)</t>
  </si>
  <si>
    <t xml:space="preserve">  Native-currency sub-totals  (per-quarter total in the local currency of the payee)</t>
  </si>
  <si>
    <t xml:space="preserve">Currency</t>
  </si>
  <si>
    <t xml:space="preserve">Loaded Monthly (native)</t>
  </si>
  <si>
    <t xml:space="preserve">  Contractors &amp; Vendors — Quarterly (USD)</t>
  </si>
  <si>
    <t xml:space="preserve">Vendor / Scope</t>
  </si>
  <si>
    <t xml:space="preserve">Duration (months)</t>
  </si>
  <si>
    <t xml:space="preserve">Monthly Native</t>
  </si>
  <si>
    <t xml:space="preserve">Monthly USD</t>
  </si>
  <si>
    <t xml:space="preserve">Total USD</t>
  </si>
  <si>
    <t xml:space="preserve">Egybell (data collection &amp; sign-off)</t>
  </si>
  <si>
    <t xml:space="preserve">Specialist UX Review (freelance)</t>
  </si>
  <si>
    <t xml:space="preserve">Security / Penetration Testing</t>
  </si>
  <si>
    <t xml:space="preserve">Legal &amp; Compliance (freelance)</t>
  </si>
  <si>
    <t xml:space="preserve">TOTAL CONTRACTORS (USD)</t>
  </si>
  <si>
    <t xml:space="preserve">  Software &amp; Infrastructure — Recurring Monthly (USD)</t>
  </si>
  <si>
    <t xml:space="preserve">Item</t>
  </si>
  <si>
    <t xml:space="preserve">Cloud hosting (AWS/Azure/GCP)</t>
  </si>
  <si>
    <t xml:space="preserve">Database &amp; storage</t>
  </si>
  <si>
    <t xml:space="preserve">GitHub / GitLab team plan</t>
  </si>
  <si>
    <t xml:space="preserve">Figma team licences</t>
  </si>
  <si>
    <t xml:space="preserve">Jira / Linear / project tooling</t>
  </si>
  <si>
    <t xml:space="preserve">Monitoring &amp; observability (Datadog)</t>
  </si>
  <si>
    <t xml:space="preserve">Email, chat &amp; productivity (MS365/GW)</t>
  </si>
  <si>
    <t xml:space="preserve">Security tools (SSO, secrets)</t>
  </si>
  <si>
    <t xml:space="preserve">CI/CD &amp; testing services</t>
  </si>
  <si>
    <t xml:space="preserve">TOTAL SOFTWARE &amp; INFRA (USD)</t>
  </si>
  <si>
    <t xml:space="preserve">  Hardware &amp; One-off Setup (USD)</t>
  </si>
  <si>
    <t xml:space="preserve">Purchase Month Idx</t>
  </si>
  <si>
    <t xml:space="preserve">One-off Native</t>
  </si>
  <si>
    <t xml:space="preserve">One-off USD</t>
  </si>
  <si>
    <t xml:space="preserve">Laptops — core team (4)</t>
  </si>
  <si>
    <t xml:space="preserve">Laptops — new hires (2 Senior)</t>
  </si>
  <si>
    <t xml:space="preserve">Laptops — add'l hires (4)</t>
  </si>
  <si>
    <t xml:space="preserve">Monitors &amp; peripherals</t>
  </si>
  <si>
    <t xml:space="preserve">Office / remote setup kit</t>
  </si>
  <si>
    <t xml:space="preserve">Contingency — replacements/expansion</t>
  </si>
  <si>
    <t xml:space="preserve">TOTAL HARDWARE &amp; SETUP (USD)</t>
  </si>
  <si>
    <t xml:space="preserve">  Quarterly Summary — All Categories (USD)</t>
  </si>
  <si>
    <t xml:space="preserve">Category</t>
  </si>
  <si>
    <t xml:space="preserve">Salaries &amp; benefits</t>
  </si>
  <si>
    <t xml:space="preserve">Contractors / vendors</t>
  </si>
  <si>
    <t xml:space="preserve">Software &amp; infra</t>
  </si>
  <si>
    <t xml:space="preserve">Hardware &amp; setup</t>
  </si>
  <si>
    <t xml:space="preserve">GRAND TOTAL (USD)</t>
  </si>
  <si>
    <t xml:space="preserve">Cumulative (running USD total)</t>
  </si>
  <si>
    <t xml:space="preserve">  Native-currency view  (total spend by native currency, across entire horizon)</t>
  </si>
  <si>
    <t xml:space="preserve">Total Native</t>
  </si>
  <si>
    <t xml:space="preserve">Source</t>
  </si>
  <si>
    <t xml:space="preserve">All categories, full horizon</t>
  </si>
  <si>
    <t xml:space="preserve">USD check (all currencies)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</si>
</sst>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00"/>
    <numFmt numFmtId="167" formatCode="_-\$* #,##0_-;_-\$* \(#,##0\);_-\$* \-_-;_-@_-"/>
    <numFmt numFmtId="168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2948"/>
        <bgColor rgb="FF333333"/>
      </patternFill>
    </fill>
    <fill>
      <patternFill patternType="solid">
        <fgColor rgb="FFC89A4A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1E4A75"/>
        <bgColor rgb="FF333333"/>
      </patternFill>
    </fill>
    <fill>
      <patternFill patternType="solid">
        <fgColor rgb="FFFAF8F3"/>
        <bgColor rgb="FFF5F1E8"/>
      </patternFill>
    </fill>
    <fill>
      <patternFill patternType="solid">
        <fgColor rgb="FFF5F1E8"/>
        <bgColor rgb="FFFAF8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2B4"/>
      </left>
      <right style="thin">
        <color rgb="FFC8C2B4"/>
      </right>
      <top style="thin">
        <color rgb="FFC8C2B4"/>
      </top>
      <bottom style="thin">
        <color rgb="FFC8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2B4"/>
      <rgbColor rgb="FF808080"/>
      <rgbColor rgb="FF9999FF"/>
      <rgbColor rgb="FF993366"/>
      <rgbColor rgb="FFFAF8F3"/>
      <rgbColor rgb="FFF5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9A4A"/>
      <rgbColor rgb="FF0B2948"/>
      <rgbColor rgb="FF339966"/>
      <rgbColor rgb="FF003300"/>
      <rgbColor rgb="FF333300"/>
      <rgbColor rgb="FF993300"/>
      <rgbColor rgb="FF993366"/>
      <rgbColor rgb="FF1E4A7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1" customFormat="false" ht="21.75" hidden="false" customHeight="true" outlineLevel="0" collapsed="false">
      <c r="A11" s="4" t="s">
        <v>15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7" customFormat="false" ht="15" hidden="false" customHeight="false" outlineLevel="0" collapsed="false">
      <c r="A17" s="2" t="s">
        <v>26</v>
      </c>
      <c r="B17" s="3" t="s">
        <v>27</v>
      </c>
    </row>
    <row r="18" customFormat="false" ht="15" hidden="false" customHeight="false" outlineLevel="0" collapsed="false">
      <c r="A18" s="2" t="s">
        <v>28</v>
      </c>
      <c r="B18" s="3" t="s">
        <v>29</v>
      </c>
    </row>
    <row r="20" customFormat="false" ht="21.75" hidden="false" customHeight="true" outlineLevel="0" collapsed="false">
      <c r="A20" s="4" t="s">
        <v>30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5" t="s">
        <v>31</v>
      </c>
      <c r="B21" s="3" t="s">
        <v>32</v>
      </c>
    </row>
    <row r="22" customFormat="false" ht="15" hidden="false" customHeight="false" outlineLevel="0" collapsed="false">
      <c r="A22" s="3" t="s">
        <v>33</v>
      </c>
      <c r="B22" s="3" t="s">
        <v>34</v>
      </c>
    </row>
    <row r="23" customFormat="false" ht="15" hidden="false" customHeight="false" outlineLevel="0" collapsed="false">
      <c r="A23" s="6" t="s">
        <v>35</v>
      </c>
      <c r="B23" s="3" t="s">
        <v>36</v>
      </c>
    </row>
    <row r="24" customFormat="false" ht="15" hidden="false" customHeight="false" outlineLevel="0" collapsed="false">
      <c r="A24" s="7" t="s">
        <v>37</v>
      </c>
      <c r="B24" s="3" t="s">
        <v>38</v>
      </c>
    </row>
    <row r="26" customFormat="false" ht="21.75" hidden="false" customHeight="true" outlineLevel="0" collapsed="false">
      <c r="A26" s="4" t="s">
        <v>39</v>
      </c>
      <c r="B26" s="4"/>
      <c r="C26" s="4"/>
      <c r="D26" s="4"/>
      <c r="E26" s="4"/>
      <c r="F26" s="4"/>
    </row>
    <row r="27" customFormat="false" ht="15" hidden="false" customHeight="false" outlineLevel="0" collapsed="false">
      <c r="A27" s="8" t="s">
        <v>40</v>
      </c>
      <c r="B27" s="8"/>
      <c r="C27" s="8"/>
      <c r="D27" s="8"/>
      <c r="E27" s="8"/>
      <c r="F27" s="8"/>
    </row>
    <row r="28" customFormat="false" ht="15" hidden="false" customHeight="false" outlineLevel="0" collapsed="false">
      <c r="A28" s="8" t="s">
        <v>41</v>
      </c>
      <c r="B28" s="8"/>
      <c r="C28" s="8"/>
      <c r="D28" s="8"/>
      <c r="E28" s="8"/>
      <c r="F28" s="8"/>
    </row>
    <row r="29" customFormat="false" ht="15" hidden="false" customHeight="false" outlineLevel="0" collapsed="false">
      <c r="A29" s="8" t="s">
        <v>42</v>
      </c>
      <c r="B29" s="8"/>
      <c r="C29" s="8"/>
      <c r="D29" s="8"/>
      <c r="E29" s="8"/>
      <c r="F29" s="8"/>
    </row>
    <row r="30" customFormat="false" ht="15" hidden="false" customHeight="false" outlineLevel="0" collapsed="false">
      <c r="A30" s="8" t="s">
        <v>43</v>
      </c>
      <c r="B30" s="8"/>
      <c r="C30" s="8"/>
      <c r="D30" s="8"/>
      <c r="E30" s="8"/>
      <c r="F30" s="8"/>
    </row>
    <row r="31" customFormat="false" ht="15" hidden="false" customHeight="false" outlineLevel="0" collapsed="false">
      <c r="A31" s="8" t="s">
        <v>44</v>
      </c>
      <c r="B31" s="8"/>
      <c r="C31" s="8"/>
      <c r="D31" s="8"/>
      <c r="E31" s="8"/>
      <c r="F31" s="8"/>
    </row>
    <row r="32" customFormat="false" ht="15" hidden="false" customHeight="false" outlineLevel="0" collapsed="false">
      <c r="A32" s="8" t="s">
        <v>45</v>
      </c>
      <c r="B32" s="8"/>
      <c r="C32" s="8"/>
      <c r="D32" s="8"/>
      <c r="E32" s="8"/>
      <c r="F32" s="8"/>
    </row>
  </sheetData>
  <mergeCells count="10">
    <mergeCell ref="A1:F1"/>
    <mergeCell ref="A11:F11"/>
    <mergeCell ref="A20:F20"/>
    <mergeCell ref="A26:F26"/>
    <mergeCell ref="A27:F27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  <col collapsed="false" customWidth="true" hidden="false" outlineLevel="0" max="5" min="5" style="0" width="28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47</v>
      </c>
      <c r="B3" s="9" t="s">
        <v>48</v>
      </c>
      <c r="C3" s="9" t="s">
        <v>49</v>
      </c>
    </row>
    <row r="4" customFormat="false" ht="15" hidden="false" customHeight="false" outlineLevel="0" collapsed="false">
      <c r="A4" s="10" t="s">
        <v>50</v>
      </c>
      <c r="B4" s="11" t="n">
        <v>0.2</v>
      </c>
      <c r="C4" s="10" t="s">
        <v>51</v>
      </c>
    </row>
    <row r="5" customFormat="false" ht="15" hidden="false" customHeight="false" outlineLevel="0" collapsed="false">
      <c r="A5" s="10" t="s">
        <v>52</v>
      </c>
      <c r="B5" s="11" t="n">
        <v>0.1</v>
      </c>
      <c r="C5" s="10" t="s">
        <v>53</v>
      </c>
    </row>
    <row r="6" customFormat="false" ht="15" hidden="false" customHeight="false" outlineLevel="0" collapsed="false">
      <c r="A6" s="10" t="s">
        <v>54</v>
      </c>
      <c r="B6" s="12" t="s">
        <v>55</v>
      </c>
      <c r="C6" s="10" t="s">
        <v>56</v>
      </c>
    </row>
    <row r="8" customFormat="false" ht="21.75" hidden="false" customHeight="true" outlineLevel="0" collapsed="false">
      <c r="A8" s="4" t="s">
        <v>57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9" t="s">
        <v>58</v>
      </c>
      <c r="B9" s="9" t="s">
        <v>59</v>
      </c>
      <c r="C9" s="9" t="s">
        <v>60</v>
      </c>
      <c r="D9" s="9" t="s">
        <v>61</v>
      </c>
      <c r="E9" s="9" t="s">
        <v>62</v>
      </c>
      <c r="F9" s="9" t="s">
        <v>49</v>
      </c>
    </row>
    <row r="10" customFormat="false" ht="15" hidden="false" customHeight="false" outlineLevel="0" collapsed="false">
      <c r="A10" s="13" t="s">
        <v>63</v>
      </c>
      <c r="B10" s="10" t="s">
        <v>64</v>
      </c>
      <c r="C10" s="14" t="n">
        <v>1</v>
      </c>
      <c r="D10" s="15" t="n">
        <f aca="false">1/C10</f>
        <v>1</v>
      </c>
      <c r="E10" s="16" t="n">
        <f aca="false">100/C10</f>
        <v>100</v>
      </c>
      <c r="F10" s="10" t="s">
        <v>65</v>
      </c>
    </row>
    <row r="11" customFormat="false" ht="15" hidden="false" customHeight="false" outlineLevel="0" collapsed="false">
      <c r="A11" s="13" t="s">
        <v>66</v>
      </c>
      <c r="B11" s="10" t="s">
        <v>67</v>
      </c>
      <c r="C11" s="17" t="n">
        <v>50</v>
      </c>
      <c r="D11" s="15" t="n">
        <f aca="false">1/C11</f>
        <v>0.02</v>
      </c>
      <c r="E11" s="16" t="n">
        <f aca="false">100/C11</f>
        <v>2</v>
      </c>
      <c r="F11" s="10" t="s">
        <v>68</v>
      </c>
    </row>
    <row r="12" customFormat="false" ht="15" hidden="false" customHeight="false" outlineLevel="0" collapsed="false">
      <c r="A12" s="13" t="s">
        <v>69</v>
      </c>
      <c r="B12" s="10" t="s">
        <v>70</v>
      </c>
      <c r="C12" s="17" t="n">
        <v>0.92</v>
      </c>
      <c r="D12" s="15" t="n">
        <f aca="false">1/C12</f>
        <v>1.08695652173913</v>
      </c>
      <c r="E12" s="16" t="n">
        <f aca="false">100/C12</f>
        <v>108.695652173913</v>
      </c>
      <c r="F12" s="10" t="s">
        <v>68</v>
      </c>
    </row>
    <row r="13" customFormat="false" ht="15" hidden="false" customHeight="false" outlineLevel="0" collapsed="false">
      <c r="A13" s="13" t="s">
        <v>71</v>
      </c>
      <c r="B13" s="10" t="s">
        <v>72</v>
      </c>
      <c r="C13" s="17" t="n">
        <v>0.79</v>
      </c>
      <c r="D13" s="15" t="n">
        <f aca="false">1/C13</f>
        <v>1.26582278481013</v>
      </c>
      <c r="E13" s="16" t="n">
        <f aca="false">100/C13</f>
        <v>126.582278481013</v>
      </c>
      <c r="F13" s="10" t="s">
        <v>68</v>
      </c>
    </row>
    <row r="14" customFormat="false" ht="15" hidden="false" customHeight="false" outlineLevel="0" collapsed="false">
      <c r="A14" s="13" t="s">
        <v>73</v>
      </c>
      <c r="B14" s="10" t="s">
        <v>74</v>
      </c>
      <c r="C14" s="17" t="n">
        <v>3.67</v>
      </c>
      <c r="D14" s="15" t="n">
        <f aca="false">1/C14</f>
        <v>0.272479564032698</v>
      </c>
      <c r="E14" s="16" t="n">
        <f aca="false">100/C14</f>
        <v>27.2479564032698</v>
      </c>
      <c r="F14" s="10" t="s">
        <v>68</v>
      </c>
    </row>
    <row r="15" customFormat="false" ht="15" hidden="false" customHeight="false" outlineLevel="0" collapsed="false">
      <c r="A15" s="13" t="s">
        <v>75</v>
      </c>
      <c r="B15" s="10" t="s">
        <v>76</v>
      </c>
      <c r="C15" s="17" t="n">
        <v>3.75</v>
      </c>
      <c r="D15" s="15" t="n">
        <f aca="false">1/C15</f>
        <v>0.266666666666667</v>
      </c>
      <c r="E15" s="16" t="n">
        <f aca="false">100/C15</f>
        <v>26.6666666666667</v>
      </c>
      <c r="F15" s="10" t="s">
        <v>68</v>
      </c>
    </row>
    <row r="17" customFormat="false" ht="21.75" hidden="false" customHeight="true" outlineLevel="0" collapsed="false">
      <c r="A17" s="4" t="s">
        <v>77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9" t="s">
        <v>78</v>
      </c>
      <c r="B18" s="9" t="s">
        <v>79</v>
      </c>
      <c r="C18" s="9" t="s">
        <v>80</v>
      </c>
      <c r="D18" s="9" t="s">
        <v>81</v>
      </c>
      <c r="E18" s="9" t="s">
        <v>82</v>
      </c>
    </row>
    <row r="19" customFormat="false" ht="15" hidden="false" customHeight="false" outlineLevel="0" collapsed="false">
      <c r="A19" s="18" t="s">
        <v>83</v>
      </c>
      <c r="B19" s="19" t="n">
        <v>1</v>
      </c>
      <c r="C19" s="19" t="n">
        <v>2</v>
      </c>
      <c r="D19" s="20" t="n">
        <f aca="false">C19-B19+1</f>
        <v>2</v>
      </c>
      <c r="E19" s="10" t="s">
        <v>84</v>
      </c>
    </row>
    <row r="20" customFormat="false" ht="15" hidden="false" customHeight="false" outlineLevel="0" collapsed="false">
      <c r="A20" s="18" t="s">
        <v>85</v>
      </c>
      <c r="B20" s="19" t="n">
        <v>3</v>
      </c>
      <c r="C20" s="19" t="n">
        <v>5</v>
      </c>
      <c r="D20" s="20" t="n">
        <f aca="false">C20-B20+1</f>
        <v>3</v>
      </c>
      <c r="E20" s="10" t="s">
        <v>86</v>
      </c>
    </row>
    <row r="21" customFormat="false" ht="15" hidden="false" customHeight="false" outlineLevel="0" collapsed="false">
      <c r="A21" s="18" t="s">
        <v>87</v>
      </c>
      <c r="B21" s="19" t="n">
        <v>6</v>
      </c>
      <c r="C21" s="19" t="n">
        <v>8</v>
      </c>
      <c r="D21" s="20" t="n">
        <f aca="false">C21-B21+1</f>
        <v>3</v>
      </c>
      <c r="E21" s="10" t="s">
        <v>88</v>
      </c>
    </row>
    <row r="22" customFormat="false" ht="15" hidden="false" customHeight="false" outlineLevel="0" collapsed="false">
      <c r="A22" s="18" t="s">
        <v>89</v>
      </c>
      <c r="B22" s="19" t="n">
        <v>9</v>
      </c>
      <c r="C22" s="19" t="n">
        <v>11</v>
      </c>
      <c r="D22" s="20" t="n">
        <f aca="false">C22-B22+1</f>
        <v>3</v>
      </c>
      <c r="E22" s="10" t="s">
        <v>90</v>
      </c>
    </row>
    <row r="23" customFormat="false" ht="15" hidden="false" customHeight="false" outlineLevel="0" collapsed="false">
      <c r="A23" s="18" t="s">
        <v>91</v>
      </c>
      <c r="B23" s="19" t="n">
        <v>12</v>
      </c>
      <c r="C23" s="19" t="n">
        <v>14</v>
      </c>
      <c r="D23" s="20" t="n">
        <f aca="false">C23-B23+1</f>
        <v>3</v>
      </c>
      <c r="E23" s="10" t="s">
        <v>92</v>
      </c>
    </row>
    <row r="24" customFormat="false" ht="15" hidden="false" customHeight="false" outlineLevel="0" collapsed="false">
      <c r="A24" s="18" t="s">
        <v>93</v>
      </c>
      <c r="B24" s="19" t="n">
        <v>15</v>
      </c>
      <c r="C24" s="19" t="n">
        <v>17</v>
      </c>
      <c r="D24" s="20" t="n">
        <f aca="false">C24-B24+1</f>
        <v>3</v>
      </c>
      <c r="E24" s="10" t="s">
        <v>94</v>
      </c>
    </row>
    <row r="25" customFormat="false" ht="15" hidden="false" customHeight="false" outlineLevel="0" collapsed="false">
      <c r="A25" s="18" t="s">
        <v>95</v>
      </c>
      <c r="B25" s="19" t="n">
        <v>18</v>
      </c>
      <c r="C25" s="19" t="n">
        <v>20</v>
      </c>
      <c r="D25" s="20" t="n">
        <f aca="false">C25-B25+1</f>
        <v>3</v>
      </c>
      <c r="E25" s="10" t="s">
        <v>96</v>
      </c>
    </row>
    <row r="26" customFormat="false" ht="15" hidden="false" customHeight="false" outlineLevel="0" collapsed="false">
      <c r="A26" s="18" t="s">
        <v>97</v>
      </c>
      <c r="B26" s="19" t="n">
        <v>21</v>
      </c>
      <c r="C26" s="19" t="n">
        <v>23</v>
      </c>
      <c r="D26" s="20" t="n">
        <f aca="false">C26-B26+1</f>
        <v>3</v>
      </c>
      <c r="E26" s="10" t="s">
        <v>98</v>
      </c>
    </row>
    <row r="27" customFormat="false" ht="15" hidden="false" customHeight="false" outlineLevel="0" collapsed="false">
      <c r="A27" s="18" t="s">
        <v>99</v>
      </c>
      <c r="B27" s="19" t="n">
        <v>24</v>
      </c>
      <c r="C27" s="19" t="n">
        <v>26</v>
      </c>
      <c r="D27" s="20" t="n">
        <f aca="false">C27-B27+1</f>
        <v>3</v>
      </c>
      <c r="E27" s="10" t="s">
        <v>100</v>
      </c>
    </row>
  </sheetData>
  <mergeCells count="3">
    <mergeCell ref="A1:F1"/>
    <mergeCell ref="A8:F8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44"/>
  </cols>
  <sheetData>
    <row r="1" customFormat="false" ht="27.75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true" outlineLevel="0" collapsed="false">
      <c r="A3" s="9" t="s">
        <v>102</v>
      </c>
      <c r="B3" s="9" t="s">
        <v>103</v>
      </c>
      <c r="C3" s="9" t="s">
        <v>104</v>
      </c>
      <c r="D3" s="9" t="s">
        <v>105</v>
      </c>
      <c r="E3" s="9" t="s">
        <v>79</v>
      </c>
      <c r="F3" s="9" t="s">
        <v>106</v>
      </c>
      <c r="G3" s="9" t="s">
        <v>107</v>
      </c>
      <c r="H3" s="9" t="s">
        <v>108</v>
      </c>
      <c r="I3" s="9"/>
      <c r="J3" s="9" t="s">
        <v>109</v>
      </c>
      <c r="K3" s="9"/>
      <c r="L3" s="9" t="s">
        <v>49</v>
      </c>
    </row>
    <row r="4" customFormat="false" ht="26.85" hidden="false" customHeight="false" outlineLevel="0" collapsed="false">
      <c r="A4" s="9"/>
      <c r="B4" s="9"/>
      <c r="C4" s="9"/>
      <c r="D4" s="9"/>
      <c r="E4" s="9"/>
      <c r="F4" s="9"/>
      <c r="G4" s="9"/>
      <c r="H4" s="21" t="s">
        <v>110</v>
      </c>
      <c r="I4" s="21" t="s">
        <v>111</v>
      </c>
      <c r="J4" s="21" t="s">
        <v>110</v>
      </c>
      <c r="K4" s="21" t="s">
        <v>111</v>
      </c>
      <c r="L4" s="9"/>
    </row>
    <row r="5" customFormat="false" ht="15" hidden="false" customHeight="false" outlineLevel="0" collapsed="false">
      <c r="A5" s="20" t="n">
        <v>1</v>
      </c>
      <c r="B5" s="22" t="s">
        <v>112</v>
      </c>
      <c r="C5" s="22" t="s">
        <v>113</v>
      </c>
      <c r="D5" s="22" t="s">
        <v>114</v>
      </c>
      <c r="E5" s="23" t="n">
        <v>1</v>
      </c>
      <c r="F5" s="24" t="str">
        <f aca="false">IFERROR(INDEX(Assumptions!$A$19:$A$27, MATCH(1,(Assumptions!$B$19:$B$27&lt;=E5)*(Assumptions!$C$19:$C$27&gt;=E5),0)),"—")</f>
        <v>Q2 2026</v>
      </c>
      <c r="G5" s="19" t="s">
        <v>66</v>
      </c>
      <c r="H5" s="25" t="n">
        <v>0</v>
      </c>
      <c r="I5" s="26" t="n">
        <f aca="false">H5*(1+Assumptions!$B$4)</f>
        <v>0</v>
      </c>
      <c r="J5" s="27" t="n">
        <f aca="false">IFERROR(H5/INDEX(Assumptions!$C$10:$C$15,MATCH(G5,Assumptions!$A$10:$A$15,0)),0)</f>
        <v>0</v>
      </c>
      <c r="K5" s="27" t="n">
        <f aca="false">IFERROR(I5/INDEX(Assumptions!$C$10:$C$15,MATCH(G5,Assumptions!$A$10:$A$15,0)),0)</f>
        <v>0</v>
      </c>
      <c r="L5" s="22" t="s">
        <v>115</v>
      </c>
    </row>
    <row r="6" customFormat="false" ht="15" hidden="false" customHeight="false" outlineLevel="0" collapsed="false">
      <c r="A6" s="28" t="n">
        <v>2</v>
      </c>
      <c r="B6" s="29" t="s">
        <v>116</v>
      </c>
      <c r="C6" s="29" t="s">
        <v>117</v>
      </c>
      <c r="D6" s="29" t="s">
        <v>114</v>
      </c>
      <c r="E6" s="23" t="n">
        <v>1</v>
      </c>
      <c r="F6" s="30" t="str">
        <f aca="false">IFERROR(INDEX(Assumptions!$A$19:$A$27, MATCH(1,(Assumptions!$B$19:$B$27&lt;=E6)*(Assumptions!$C$19:$C$27&gt;=E6),0)),"—")</f>
        <v>Q2 2026</v>
      </c>
      <c r="G6" s="31" t="s">
        <v>66</v>
      </c>
      <c r="H6" s="32" t="n">
        <v>0</v>
      </c>
      <c r="I6" s="33" t="n">
        <f aca="false">H6*(1+Assumptions!$B$4)</f>
        <v>0</v>
      </c>
      <c r="J6" s="34" t="n">
        <f aca="false">IFERROR(H6/INDEX(Assumptions!$C$10:$C$15,MATCH(G6,Assumptions!$A$10:$A$15,0)),0)</f>
        <v>0</v>
      </c>
      <c r="K6" s="34" t="n">
        <f aca="false">IFERROR(I6/INDEX(Assumptions!$C$10:$C$15,MATCH(G6,Assumptions!$A$10:$A$15,0)),0)</f>
        <v>0</v>
      </c>
      <c r="L6" s="29" t="s">
        <v>115</v>
      </c>
    </row>
    <row r="7" customFormat="false" ht="26.85" hidden="false" customHeight="false" outlineLevel="0" collapsed="false">
      <c r="A7" s="20" t="n">
        <v>3</v>
      </c>
      <c r="B7" s="22" t="s">
        <v>118</v>
      </c>
      <c r="C7" s="22" t="s">
        <v>119</v>
      </c>
      <c r="D7" s="22" t="s">
        <v>114</v>
      </c>
      <c r="E7" s="19" t="n">
        <v>1</v>
      </c>
      <c r="F7" s="24" t="str">
        <f aca="false">IFERROR(INDEX(Assumptions!$A$19:$A$27, MATCH(1,(Assumptions!$B$19:$B$27&lt;=E7)*(Assumptions!$C$19:$C$27&gt;=E7),0)),"—")</f>
        <v>Q2 2026</v>
      </c>
      <c r="G7" s="19" t="s">
        <v>66</v>
      </c>
      <c r="H7" s="35" t="n">
        <v>10000</v>
      </c>
      <c r="I7" s="26" t="n">
        <f aca="false">H7*(1+Assumptions!$B$4)</f>
        <v>12000</v>
      </c>
      <c r="J7" s="27" t="n">
        <f aca="false">IFERROR(H7/INDEX(Assumptions!$C$10:$C$15,MATCH(G7,Assumptions!$A$10:$A$15,0)),0)</f>
        <v>200</v>
      </c>
      <c r="K7" s="27" t="n">
        <f aca="false">IFERROR(I7/INDEX(Assumptions!$C$10:$C$15,MATCH(G7,Assumptions!$A$10:$A$15,0)),0)</f>
        <v>240</v>
      </c>
      <c r="L7" s="22" t="s">
        <v>120</v>
      </c>
    </row>
    <row r="8" customFormat="false" ht="15" hidden="false" customHeight="false" outlineLevel="0" collapsed="false">
      <c r="A8" s="28" t="n">
        <v>4</v>
      </c>
      <c r="B8" s="29" t="s">
        <v>121</v>
      </c>
      <c r="C8" s="29" t="s">
        <v>122</v>
      </c>
      <c r="D8" s="29" t="s">
        <v>114</v>
      </c>
      <c r="E8" s="31" t="n">
        <v>1</v>
      </c>
      <c r="F8" s="30" t="str">
        <f aca="false">IFERROR(INDEX(Assumptions!$A$19:$A$27, MATCH(1,(Assumptions!$B$19:$B$27&lt;=E8)*(Assumptions!$C$19:$C$27&gt;=E8),0)),"—")</f>
        <v>Q2 2026</v>
      </c>
      <c r="G8" s="31" t="s">
        <v>66</v>
      </c>
      <c r="H8" s="32" t="n">
        <v>30000</v>
      </c>
      <c r="I8" s="33" t="n">
        <f aca="false">H8*(1+Assumptions!$B$4)</f>
        <v>36000</v>
      </c>
      <c r="J8" s="34" t="n">
        <f aca="false">IFERROR(H8/INDEX(Assumptions!$C$10:$C$15,MATCH(G8,Assumptions!$A$10:$A$15,0)),0)</f>
        <v>600</v>
      </c>
      <c r="K8" s="34" t="n">
        <f aca="false">IFERROR(I8/INDEX(Assumptions!$C$10:$C$15,MATCH(G8,Assumptions!$A$10:$A$15,0)),0)</f>
        <v>720</v>
      </c>
      <c r="L8" s="29"/>
    </row>
    <row r="9" customFormat="false" ht="26.85" hidden="false" customHeight="false" outlineLevel="0" collapsed="false">
      <c r="A9" s="20" t="n">
        <v>5</v>
      </c>
      <c r="B9" s="22" t="s">
        <v>123</v>
      </c>
      <c r="C9" s="22" t="s">
        <v>124</v>
      </c>
      <c r="D9" s="22" t="s">
        <v>125</v>
      </c>
      <c r="E9" s="23" t="n">
        <v>3</v>
      </c>
      <c r="F9" s="24" t="str">
        <f aca="false">IFERROR(INDEX(Assumptions!$A$19:$A$27, MATCH(1,(Assumptions!$B$19:$B$27&lt;=E9)*(Assumptions!$C$19:$C$27&gt;=E9),0)),"—")</f>
        <v>Q3 2026</v>
      </c>
      <c r="G9" s="19" t="s">
        <v>66</v>
      </c>
      <c r="H9" s="35" t="n">
        <v>55000</v>
      </c>
      <c r="I9" s="26" t="n">
        <f aca="false">H9*(1+Assumptions!$B$4)</f>
        <v>66000</v>
      </c>
      <c r="J9" s="27" t="n">
        <f aca="false">IFERROR(H9/INDEX(Assumptions!$C$10:$C$15,MATCH(G9,Assumptions!$A$10:$A$15,0)),0)</f>
        <v>1100</v>
      </c>
      <c r="K9" s="27" t="n">
        <f aca="false">IFERROR(I9/INDEX(Assumptions!$C$10:$C$15,MATCH(G9,Assumptions!$A$10:$A$15,0)),0)</f>
        <v>1320</v>
      </c>
      <c r="L9" s="22" t="s">
        <v>126</v>
      </c>
    </row>
    <row r="10" customFormat="false" ht="26.85" hidden="false" customHeight="false" outlineLevel="0" collapsed="false">
      <c r="A10" s="28" t="n">
        <v>6</v>
      </c>
      <c r="B10" s="29" t="s">
        <v>127</v>
      </c>
      <c r="C10" s="29" t="s">
        <v>128</v>
      </c>
      <c r="D10" s="29" t="s">
        <v>125</v>
      </c>
      <c r="E10" s="23" t="n">
        <v>3</v>
      </c>
      <c r="F10" s="30" t="str">
        <f aca="false">IFERROR(INDEX(Assumptions!$A$19:$A$27, MATCH(1,(Assumptions!$B$19:$B$27&lt;=E10)*(Assumptions!$C$19:$C$27&gt;=E10),0)),"—")</f>
        <v>Q3 2026</v>
      </c>
      <c r="G10" s="31" t="s">
        <v>66</v>
      </c>
      <c r="H10" s="32" t="n">
        <v>60000</v>
      </c>
      <c r="I10" s="33" t="n">
        <f aca="false">H10*(1+Assumptions!$B$4)</f>
        <v>72000</v>
      </c>
      <c r="J10" s="34" t="n">
        <f aca="false">IFERROR(H10/INDEX(Assumptions!$C$10:$C$15,MATCH(G10,Assumptions!$A$10:$A$15,0)),0)</f>
        <v>1200</v>
      </c>
      <c r="K10" s="34" t="n">
        <f aca="false">IFERROR(I10/INDEX(Assumptions!$C$10:$C$15,MATCH(G10,Assumptions!$A$10:$A$15,0)),0)</f>
        <v>1440</v>
      </c>
      <c r="L10" s="29" t="s">
        <v>126</v>
      </c>
    </row>
    <row r="11" customFormat="false" ht="15" hidden="false" customHeight="false" outlineLevel="0" collapsed="false">
      <c r="A11" s="20" t="n">
        <v>7</v>
      </c>
      <c r="B11" s="22" t="s">
        <v>129</v>
      </c>
      <c r="C11" s="22" t="s">
        <v>130</v>
      </c>
      <c r="D11" s="22" t="s">
        <v>131</v>
      </c>
      <c r="E11" s="23" t="n">
        <v>4</v>
      </c>
      <c r="F11" s="24" t="str">
        <f aca="false">IFERROR(INDEX(Assumptions!$A$19:$A$27, MATCH(1,(Assumptions!$B$19:$B$27&lt;=E11)*(Assumptions!$C$19:$C$27&gt;=E11),0)),"—")</f>
        <v>Q3 2026</v>
      </c>
      <c r="G11" s="19" t="s">
        <v>66</v>
      </c>
      <c r="H11" s="35" t="n">
        <v>30000</v>
      </c>
      <c r="I11" s="26" t="n">
        <f aca="false">H11*(1+Assumptions!$B$4)</f>
        <v>36000</v>
      </c>
      <c r="J11" s="27" t="n">
        <f aca="false">IFERROR(H11/INDEX(Assumptions!$C$10:$C$15,MATCH(G11,Assumptions!$A$10:$A$15,0)),0)</f>
        <v>600</v>
      </c>
      <c r="K11" s="27" t="n">
        <f aca="false">IFERROR(I11/INDEX(Assumptions!$C$10:$C$15,MATCH(G11,Assumptions!$A$10:$A$15,0)),0)</f>
        <v>720</v>
      </c>
      <c r="L11" s="22" t="s">
        <v>132</v>
      </c>
    </row>
    <row r="12" customFormat="false" ht="15" hidden="false" customHeight="false" outlineLevel="0" collapsed="false">
      <c r="A12" s="28" t="n">
        <v>8</v>
      </c>
      <c r="B12" s="29" t="s">
        <v>133</v>
      </c>
      <c r="C12" s="29" t="s">
        <v>134</v>
      </c>
      <c r="D12" s="29" t="s">
        <v>131</v>
      </c>
      <c r="E12" s="23" t="n">
        <v>3</v>
      </c>
      <c r="F12" s="30" t="str">
        <f aca="false">IFERROR(INDEX(Assumptions!$A$19:$A$27, MATCH(1,(Assumptions!$B$19:$B$27&lt;=E12)*(Assumptions!$C$19:$C$27&gt;=E12),0)),"—")</f>
        <v>Q3 2026</v>
      </c>
      <c r="G12" s="31" t="s">
        <v>66</v>
      </c>
      <c r="H12" s="32" t="n">
        <v>50000</v>
      </c>
      <c r="I12" s="33" t="n">
        <f aca="false">H12*(1+Assumptions!$B$4)</f>
        <v>60000</v>
      </c>
      <c r="J12" s="34" t="n">
        <f aca="false">IFERROR(H12/INDEX(Assumptions!$C$10:$C$15,MATCH(G12,Assumptions!$A$10:$A$15,0)),0)</f>
        <v>1000</v>
      </c>
      <c r="K12" s="34" t="n">
        <f aca="false">IFERROR(I12/INDEX(Assumptions!$C$10:$C$15,MATCH(G12,Assumptions!$A$10:$A$15,0)),0)</f>
        <v>1200</v>
      </c>
      <c r="L12" s="29" t="s">
        <v>132</v>
      </c>
    </row>
    <row r="13" customFormat="false" ht="15" hidden="false" customHeight="false" outlineLevel="0" collapsed="false">
      <c r="A13" s="20" t="n">
        <v>9</v>
      </c>
      <c r="B13" s="22" t="s">
        <v>135</v>
      </c>
      <c r="C13" s="22" t="s">
        <v>136</v>
      </c>
      <c r="D13" s="22" t="s">
        <v>131</v>
      </c>
      <c r="E13" s="23" t="n">
        <v>6</v>
      </c>
      <c r="F13" s="24" t="str">
        <f aca="false">IFERROR(INDEX(Assumptions!$A$19:$A$27, MATCH(1,(Assumptions!$B$19:$B$27&lt;=E13)*(Assumptions!$C$19:$C$27&gt;=E13),0)),"—")</f>
        <v>Q4 2026</v>
      </c>
      <c r="G13" s="19" t="s">
        <v>66</v>
      </c>
      <c r="H13" s="35" t="n">
        <v>35000</v>
      </c>
      <c r="I13" s="26" t="n">
        <f aca="false">H13*(1+Assumptions!$B$4)</f>
        <v>42000</v>
      </c>
      <c r="J13" s="27" t="n">
        <f aca="false">IFERROR(H13/INDEX(Assumptions!$C$10:$C$15,MATCH(G13,Assumptions!$A$10:$A$15,0)),0)</f>
        <v>700</v>
      </c>
      <c r="K13" s="27" t="n">
        <f aca="false">IFERROR(I13/INDEX(Assumptions!$C$10:$C$15,MATCH(G13,Assumptions!$A$10:$A$15,0)),0)</f>
        <v>840</v>
      </c>
      <c r="L13" s="22" t="s">
        <v>137</v>
      </c>
    </row>
    <row r="14" customFormat="false" ht="15" hidden="false" customHeight="false" outlineLevel="0" collapsed="false">
      <c r="A14" s="28" t="n">
        <v>10</v>
      </c>
      <c r="B14" s="29" t="s">
        <v>138</v>
      </c>
      <c r="C14" s="29" t="s">
        <v>139</v>
      </c>
      <c r="D14" s="29" t="s">
        <v>131</v>
      </c>
      <c r="E14" s="23" t="n">
        <v>6</v>
      </c>
      <c r="F14" s="30" t="str">
        <f aca="false">IFERROR(INDEX(Assumptions!$A$19:$A$27, MATCH(1,(Assumptions!$B$19:$B$27&lt;=E14)*(Assumptions!$C$19:$C$27&gt;=E14),0)),"—")</f>
        <v>Q4 2026</v>
      </c>
      <c r="G14" s="31" t="s">
        <v>66</v>
      </c>
      <c r="H14" s="32" t="n">
        <v>38000</v>
      </c>
      <c r="I14" s="33" t="n">
        <f aca="false">H14*(1+Assumptions!$B$4)</f>
        <v>45600</v>
      </c>
      <c r="J14" s="34" t="n">
        <f aca="false">IFERROR(H14/INDEX(Assumptions!$C$10:$C$15,MATCH(G14,Assumptions!$A$10:$A$15,0)),0)</f>
        <v>760</v>
      </c>
      <c r="K14" s="34" t="n">
        <f aca="false">IFERROR(I14/INDEX(Assumptions!$C$10:$C$15,MATCH(G14,Assumptions!$A$10:$A$15,0)),0)</f>
        <v>912</v>
      </c>
      <c r="L14" s="29" t="s">
        <v>137</v>
      </c>
    </row>
    <row r="15" customFormat="false" ht="15" hidden="false" customHeight="false" outlineLevel="0" collapsed="false">
      <c r="A15" s="20" t="n">
        <v>11</v>
      </c>
      <c r="B15" s="22" t="s">
        <v>140</v>
      </c>
      <c r="C15" s="22" t="s">
        <v>141</v>
      </c>
      <c r="D15" s="22" t="s">
        <v>131</v>
      </c>
      <c r="E15" s="23" t="n">
        <v>1</v>
      </c>
      <c r="F15" s="24" t="str">
        <f aca="false">IFERROR(INDEX(Assumptions!$A$19:$A$27, MATCH(1,(Assumptions!$B$19:$B$27&lt;=E15)*(Assumptions!$C$19:$C$27&gt;=E15),0)),"—")</f>
        <v>Q2 2026</v>
      </c>
      <c r="G15" s="19" t="s">
        <v>66</v>
      </c>
      <c r="H15" s="35" t="n">
        <v>25000</v>
      </c>
      <c r="I15" s="26" t="n">
        <f aca="false">H15*(1+Assumptions!$B$4)</f>
        <v>30000</v>
      </c>
      <c r="J15" s="27" t="n">
        <f aca="false">IFERROR(H15/INDEX(Assumptions!$C$10:$C$15,MATCH(G15,Assumptions!$A$10:$A$15,0)),0)</f>
        <v>500</v>
      </c>
      <c r="K15" s="27" t="n">
        <f aca="false">IFERROR(I15/INDEX(Assumptions!$C$10:$C$15,MATCH(G15,Assumptions!$A$10:$A$15,0)),0)</f>
        <v>600</v>
      </c>
      <c r="L15" s="22" t="s">
        <v>132</v>
      </c>
    </row>
    <row r="16" customFormat="false" ht="15" hidden="false" customHeight="false" outlineLevel="0" collapsed="false">
      <c r="A16" s="28" t="n">
        <v>12</v>
      </c>
      <c r="B16" s="29" t="s">
        <v>142</v>
      </c>
      <c r="C16" s="29" t="s">
        <v>143</v>
      </c>
      <c r="D16" s="29" t="s">
        <v>131</v>
      </c>
      <c r="E16" s="23" t="n">
        <v>1</v>
      </c>
      <c r="F16" s="30" t="str">
        <f aca="false">IFERROR(INDEX(Assumptions!$A$19:$A$27, MATCH(1,(Assumptions!$B$19:$B$27&lt;=E16)*(Assumptions!$C$19:$C$27&gt;=E16),0)),"—")</f>
        <v>Q2 2026</v>
      </c>
      <c r="G16" s="31" t="s">
        <v>66</v>
      </c>
      <c r="H16" s="32" t="n">
        <v>40000</v>
      </c>
      <c r="I16" s="33" t="n">
        <f aca="false">H16*(1+Assumptions!$B$4)</f>
        <v>48000</v>
      </c>
      <c r="J16" s="34" t="n">
        <f aca="false">IFERROR(H16/INDEX(Assumptions!$C$10:$C$15,MATCH(G16,Assumptions!$A$10:$A$15,0)),0)</f>
        <v>800</v>
      </c>
      <c r="K16" s="34" t="n">
        <f aca="false">IFERROR(I16/INDEX(Assumptions!$C$10:$C$15,MATCH(G16,Assumptions!$A$10:$A$15,0)),0)</f>
        <v>960</v>
      </c>
      <c r="L16" s="29" t="s">
        <v>132</v>
      </c>
    </row>
    <row r="18" customFormat="false" ht="15" hidden="false" customHeight="false" outlineLevel="0" collapsed="false">
      <c r="A18" s="36"/>
      <c r="B18" s="37" t="s">
        <v>144</v>
      </c>
      <c r="C18" s="36"/>
      <c r="D18" s="36"/>
      <c r="E18" s="36"/>
      <c r="F18" s="36"/>
      <c r="G18" s="36"/>
      <c r="H18" s="36"/>
      <c r="I18" s="36"/>
      <c r="J18" s="36"/>
      <c r="K18" s="38" t="n">
        <f aca="false">SUM(K5:K16)</f>
        <v>8952</v>
      </c>
      <c r="L18" s="36"/>
    </row>
  </sheetData>
  <mergeCells count="11">
    <mergeCell ref="A1:L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L3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13" min="5" style="0" width="14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6.85" hidden="false" customHeight="false" outlineLevel="0" collapsed="false">
      <c r="A3" s="9" t="s">
        <v>102</v>
      </c>
      <c r="B3" s="9" t="s">
        <v>103</v>
      </c>
      <c r="C3" s="9" t="s">
        <v>107</v>
      </c>
      <c r="D3" s="9" t="s">
        <v>146</v>
      </c>
      <c r="E3" s="9" t="s">
        <v>83</v>
      </c>
      <c r="F3" s="9" t="s">
        <v>85</v>
      </c>
      <c r="G3" s="9" t="s">
        <v>87</v>
      </c>
      <c r="H3" s="9" t="s">
        <v>89</v>
      </c>
      <c r="I3" s="9" t="s">
        <v>91</v>
      </c>
      <c r="J3" s="9" t="s">
        <v>93</v>
      </c>
      <c r="K3" s="9" t="s">
        <v>95</v>
      </c>
      <c r="L3" s="9" t="s">
        <v>97</v>
      </c>
      <c r="M3" s="9" t="s">
        <v>99</v>
      </c>
      <c r="N3" s="9" t="s">
        <v>147</v>
      </c>
    </row>
    <row r="4" customFormat="false" ht="15" hidden="false" customHeight="false" outlineLevel="0" collapsed="false">
      <c r="A4" s="20" t="n">
        <v>1</v>
      </c>
      <c r="B4" s="22" t="s">
        <v>112</v>
      </c>
      <c r="C4" s="24" t="str">
        <f aca="false">'Team Roster'!G5</f>
        <v>EGP</v>
      </c>
      <c r="D4" s="27" t="n">
        <f aca="false">'Team Roster'!K5</f>
        <v>0</v>
      </c>
      <c r="E4" s="39" t="n">
        <f aca="false">MAX(0, MIN(2, 999) - MAX(1, 'Team Roster'!E5) + 1) * D4</f>
        <v>0</v>
      </c>
      <c r="F4" s="39" t="n">
        <f aca="false">MAX(0, MIN(5, 999) - MAX(3, 'Team Roster'!E5) + 1) * D4</f>
        <v>0</v>
      </c>
      <c r="G4" s="39" t="n">
        <f aca="false">MAX(0, MIN(8, 999) - MAX(6, 'Team Roster'!E5) + 1) * D4</f>
        <v>0</v>
      </c>
      <c r="H4" s="39" t="n">
        <f aca="false">MAX(0, MIN(11, 999) - MAX(9, 'Team Roster'!E5) + 1) * D4</f>
        <v>0</v>
      </c>
      <c r="I4" s="39" t="n">
        <f aca="false">MAX(0, MIN(14, 999) - MAX(12, 'Team Roster'!E5) + 1) * D4</f>
        <v>0</v>
      </c>
      <c r="J4" s="39" t="n">
        <f aca="false">MAX(0, MIN(17, 999) - MAX(15, 'Team Roster'!E5) + 1) * D4</f>
        <v>0</v>
      </c>
      <c r="K4" s="39" t="n">
        <f aca="false">MAX(0, MIN(20, 999) - MAX(18, 'Team Roster'!E5) + 1) * D4</f>
        <v>0</v>
      </c>
      <c r="L4" s="39" t="n">
        <f aca="false">MAX(0, MIN(23, 999) - MAX(21, 'Team Roster'!E5) + 1) * D4</f>
        <v>0</v>
      </c>
      <c r="M4" s="39" t="n">
        <f aca="false">MAX(0, MIN(26, 999) - MAX(24, 'Team Roster'!E5) + 1) * D4</f>
        <v>0</v>
      </c>
      <c r="N4" s="40" t="n">
        <f aca="false">SUM(E4:M4)</f>
        <v>0</v>
      </c>
    </row>
    <row r="5" customFormat="false" ht="15" hidden="false" customHeight="false" outlineLevel="0" collapsed="false">
      <c r="A5" s="28" t="n">
        <v>2</v>
      </c>
      <c r="B5" s="29" t="s">
        <v>116</v>
      </c>
      <c r="C5" s="30" t="str">
        <f aca="false">'Team Roster'!G6</f>
        <v>EGP</v>
      </c>
      <c r="D5" s="34" t="n">
        <f aca="false">'Team Roster'!K6</f>
        <v>0</v>
      </c>
      <c r="E5" s="41" t="n">
        <f aca="false">MAX(0, MIN(2, 999) - MAX(1, 'Team Roster'!E6) + 1) * D5</f>
        <v>0</v>
      </c>
      <c r="F5" s="41" t="n">
        <f aca="false">MAX(0, MIN(5, 999) - MAX(3, 'Team Roster'!E6) + 1) * D5</f>
        <v>0</v>
      </c>
      <c r="G5" s="41" t="n">
        <f aca="false">MAX(0, MIN(8, 999) - MAX(6, 'Team Roster'!E6) + 1) * D5</f>
        <v>0</v>
      </c>
      <c r="H5" s="41" t="n">
        <f aca="false">MAX(0, MIN(11, 999) - MAX(9, 'Team Roster'!E6) + 1) * D5</f>
        <v>0</v>
      </c>
      <c r="I5" s="41" t="n">
        <f aca="false">MAX(0, MIN(14, 999) - MAX(12, 'Team Roster'!E6) + 1) * D5</f>
        <v>0</v>
      </c>
      <c r="J5" s="41" t="n">
        <f aca="false">MAX(0, MIN(17, 999) - MAX(15, 'Team Roster'!E6) + 1) * D5</f>
        <v>0</v>
      </c>
      <c r="K5" s="41" t="n">
        <f aca="false">MAX(0, MIN(20, 999) - MAX(18, 'Team Roster'!E6) + 1) * D5</f>
        <v>0</v>
      </c>
      <c r="L5" s="41" t="n">
        <f aca="false">MAX(0, MIN(23, 999) - MAX(21, 'Team Roster'!E6) + 1) * D5</f>
        <v>0</v>
      </c>
      <c r="M5" s="41" t="n">
        <f aca="false">MAX(0, MIN(26, 999) - MAX(24, 'Team Roster'!E6) + 1) * D5</f>
        <v>0</v>
      </c>
      <c r="N5" s="42" t="n">
        <f aca="false">SUM(E5:M5)</f>
        <v>0</v>
      </c>
    </row>
    <row r="6" customFormat="false" ht="15" hidden="false" customHeight="false" outlineLevel="0" collapsed="false">
      <c r="A6" s="20" t="n">
        <v>3</v>
      </c>
      <c r="B6" s="22" t="s">
        <v>118</v>
      </c>
      <c r="C6" s="24" t="str">
        <f aca="false">'Team Roster'!G7</f>
        <v>EGP</v>
      </c>
      <c r="D6" s="27" t="n">
        <f aca="false">'Team Roster'!K7</f>
        <v>240</v>
      </c>
      <c r="E6" s="39" t="n">
        <f aca="false">MAX(0, MIN(2, 999) - MAX(1, 'Team Roster'!E7) + 1) * D6</f>
        <v>480</v>
      </c>
      <c r="F6" s="39" t="n">
        <f aca="false">MAX(0, MIN(5, 999) - MAX(3, 'Team Roster'!E7) + 1) * D6</f>
        <v>720</v>
      </c>
      <c r="G6" s="39" t="n">
        <f aca="false">MAX(0, MIN(8, 999) - MAX(6, 'Team Roster'!E7) + 1) * D6</f>
        <v>720</v>
      </c>
      <c r="H6" s="39" t="n">
        <f aca="false">MAX(0, MIN(11, 999) - MAX(9, 'Team Roster'!E7) + 1) * D6</f>
        <v>720</v>
      </c>
      <c r="I6" s="39" t="n">
        <f aca="false">MAX(0, MIN(14, 999) - MAX(12, 'Team Roster'!E7) + 1) * D6</f>
        <v>720</v>
      </c>
      <c r="J6" s="39" t="n">
        <f aca="false">MAX(0, MIN(17, 999) - MAX(15, 'Team Roster'!E7) + 1) * D6</f>
        <v>720</v>
      </c>
      <c r="K6" s="39" t="n">
        <f aca="false">MAX(0, MIN(20, 999) - MAX(18, 'Team Roster'!E7) + 1) * D6</f>
        <v>720</v>
      </c>
      <c r="L6" s="39" t="n">
        <f aca="false">MAX(0, MIN(23, 999) - MAX(21, 'Team Roster'!E7) + 1) * D6</f>
        <v>720</v>
      </c>
      <c r="M6" s="39" t="n">
        <f aca="false">MAX(0, MIN(26, 999) - MAX(24, 'Team Roster'!E7) + 1) * D6</f>
        <v>720</v>
      </c>
      <c r="N6" s="40" t="n">
        <f aca="false">SUM(E6:M6)</f>
        <v>6240</v>
      </c>
    </row>
    <row r="7" customFormat="false" ht="15" hidden="false" customHeight="false" outlineLevel="0" collapsed="false">
      <c r="A7" s="28" t="n">
        <v>4</v>
      </c>
      <c r="B7" s="29" t="s">
        <v>121</v>
      </c>
      <c r="C7" s="30" t="str">
        <f aca="false">'Team Roster'!G8</f>
        <v>EGP</v>
      </c>
      <c r="D7" s="34" t="n">
        <f aca="false">'Team Roster'!K8</f>
        <v>720</v>
      </c>
      <c r="E7" s="41" t="n">
        <f aca="false">MAX(0, MIN(2, 999) - MAX(1, 'Team Roster'!E8) + 1) * D7</f>
        <v>1440</v>
      </c>
      <c r="F7" s="41" t="n">
        <f aca="false">MAX(0, MIN(5, 999) - MAX(3, 'Team Roster'!E8) + 1) * D7</f>
        <v>2160</v>
      </c>
      <c r="G7" s="41" t="n">
        <f aca="false">MAX(0, MIN(8, 999) - MAX(6, 'Team Roster'!E8) + 1) * D7</f>
        <v>2160</v>
      </c>
      <c r="H7" s="41" t="n">
        <f aca="false">MAX(0, MIN(11, 999) - MAX(9, 'Team Roster'!E8) + 1) * D7</f>
        <v>2160</v>
      </c>
      <c r="I7" s="41" t="n">
        <f aca="false">MAX(0, MIN(14, 999) - MAX(12, 'Team Roster'!E8) + 1) * D7</f>
        <v>2160</v>
      </c>
      <c r="J7" s="41" t="n">
        <f aca="false">MAX(0, MIN(17, 999) - MAX(15, 'Team Roster'!E8) + 1) * D7</f>
        <v>2160</v>
      </c>
      <c r="K7" s="41" t="n">
        <f aca="false">MAX(0, MIN(20, 999) - MAX(18, 'Team Roster'!E8) + 1) * D7</f>
        <v>2160</v>
      </c>
      <c r="L7" s="41" t="n">
        <f aca="false">MAX(0, MIN(23, 999) - MAX(21, 'Team Roster'!E8) + 1) * D7</f>
        <v>2160</v>
      </c>
      <c r="M7" s="41" t="n">
        <f aca="false">MAX(0, MIN(26, 999) - MAX(24, 'Team Roster'!E8) + 1) * D7</f>
        <v>2160</v>
      </c>
      <c r="N7" s="42" t="n">
        <f aca="false">SUM(E7:M7)</f>
        <v>18720</v>
      </c>
    </row>
    <row r="8" customFormat="false" ht="15" hidden="false" customHeight="false" outlineLevel="0" collapsed="false">
      <c r="A8" s="20" t="n">
        <v>5</v>
      </c>
      <c r="B8" s="22" t="s">
        <v>123</v>
      </c>
      <c r="C8" s="24" t="str">
        <f aca="false">'Team Roster'!G9</f>
        <v>EGP</v>
      </c>
      <c r="D8" s="27" t="n">
        <f aca="false">'Team Roster'!K9</f>
        <v>1320</v>
      </c>
      <c r="E8" s="39" t="n">
        <f aca="false">MAX(0, MIN(2, 999) - MAX(1, 'Team Roster'!E9) + 1) * D8</f>
        <v>0</v>
      </c>
      <c r="F8" s="39" t="n">
        <f aca="false">MAX(0, MIN(5, 999) - MAX(3, 'Team Roster'!E9) + 1) * D8</f>
        <v>3960</v>
      </c>
      <c r="G8" s="39" t="n">
        <f aca="false">MAX(0, MIN(8, 999) - MAX(6, 'Team Roster'!E9) + 1) * D8</f>
        <v>3960</v>
      </c>
      <c r="H8" s="39" t="n">
        <f aca="false">MAX(0, MIN(11, 999) - MAX(9, 'Team Roster'!E9) + 1) * D8</f>
        <v>3960</v>
      </c>
      <c r="I8" s="39" t="n">
        <f aca="false">MAX(0, MIN(14, 999) - MAX(12, 'Team Roster'!E9) + 1) * D8</f>
        <v>3960</v>
      </c>
      <c r="J8" s="39" t="n">
        <f aca="false">MAX(0, MIN(17, 999) - MAX(15, 'Team Roster'!E9) + 1) * D8</f>
        <v>3960</v>
      </c>
      <c r="K8" s="39" t="n">
        <f aca="false">MAX(0, MIN(20, 999) - MAX(18, 'Team Roster'!E9) + 1) * D8</f>
        <v>3960</v>
      </c>
      <c r="L8" s="39" t="n">
        <f aca="false">MAX(0, MIN(23, 999) - MAX(21, 'Team Roster'!E9) + 1) * D8</f>
        <v>3960</v>
      </c>
      <c r="M8" s="39" t="n">
        <f aca="false">MAX(0, MIN(26, 999) - MAX(24, 'Team Roster'!E9) + 1) * D8</f>
        <v>3960</v>
      </c>
      <c r="N8" s="40" t="n">
        <f aca="false">SUM(E8:M8)</f>
        <v>31680</v>
      </c>
    </row>
    <row r="9" customFormat="false" ht="15" hidden="false" customHeight="false" outlineLevel="0" collapsed="false">
      <c r="A9" s="28" t="n">
        <v>6</v>
      </c>
      <c r="B9" s="29" t="s">
        <v>127</v>
      </c>
      <c r="C9" s="30" t="str">
        <f aca="false">'Team Roster'!G10</f>
        <v>EGP</v>
      </c>
      <c r="D9" s="34" t="n">
        <f aca="false">'Team Roster'!K10</f>
        <v>1440</v>
      </c>
      <c r="E9" s="41" t="n">
        <f aca="false">MAX(0, MIN(2, 999) - MAX(1, 'Team Roster'!E10) + 1) * D9</f>
        <v>0</v>
      </c>
      <c r="F9" s="41" t="n">
        <f aca="false">MAX(0, MIN(5, 999) - MAX(3, 'Team Roster'!E10) + 1) * D9</f>
        <v>4320</v>
      </c>
      <c r="G9" s="41" t="n">
        <f aca="false">MAX(0, MIN(8, 999) - MAX(6, 'Team Roster'!E10) + 1) * D9</f>
        <v>4320</v>
      </c>
      <c r="H9" s="41" t="n">
        <f aca="false">MAX(0, MIN(11, 999) - MAX(9, 'Team Roster'!E10) + 1) * D9</f>
        <v>4320</v>
      </c>
      <c r="I9" s="41" t="n">
        <f aca="false">MAX(0, MIN(14, 999) - MAX(12, 'Team Roster'!E10) + 1) * D9</f>
        <v>4320</v>
      </c>
      <c r="J9" s="41" t="n">
        <f aca="false">MAX(0, MIN(17, 999) - MAX(15, 'Team Roster'!E10) + 1) * D9</f>
        <v>4320</v>
      </c>
      <c r="K9" s="41" t="n">
        <f aca="false">MAX(0, MIN(20, 999) - MAX(18, 'Team Roster'!E10) + 1) * D9</f>
        <v>4320</v>
      </c>
      <c r="L9" s="41" t="n">
        <f aca="false">MAX(0, MIN(23, 999) - MAX(21, 'Team Roster'!E10) + 1) * D9</f>
        <v>4320</v>
      </c>
      <c r="M9" s="41" t="n">
        <f aca="false">MAX(0, MIN(26, 999) - MAX(24, 'Team Roster'!E10) + 1) * D9</f>
        <v>4320</v>
      </c>
      <c r="N9" s="42" t="n">
        <f aca="false">SUM(E9:M9)</f>
        <v>34560</v>
      </c>
    </row>
    <row r="10" customFormat="false" ht="15" hidden="false" customHeight="false" outlineLevel="0" collapsed="false">
      <c r="A10" s="20" t="n">
        <v>7</v>
      </c>
      <c r="B10" s="22" t="s">
        <v>129</v>
      </c>
      <c r="C10" s="24" t="str">
        <f aca="false">'Team Roster'!G11</f>
        <v>EGP</v>
      </c>
      <c r="D10" s="27" t="n">
        <f aca="false">'Team Roster'!K11</f>
        <v>720</v>
      </c>
      <c r="E10" s="39" t="n">
        <f aca="false">MAX(0, MIN(2, 999) - MAX(1, 'Team Roster'!E11) + 1) * D10</f>
        <v>0</v>
      </c>
      <c r="F10" s="39" t="n">
        <f aca="false">MAX(0, MIN(5, 999) - MAX(3, 'Team Roster'!E11) + 1) * D10</f>
        <v>1440</v>
      </c>
      <c r="G10" s="39" t="n">
        <f aca="false">MAX(0, MIN(8, 999) - MAX(6, 'Team Roster'!E11) + 1) * D10</f>
        <v>2160</v>
      </c>
      <c r="H10" s="39" t="n">
        <f aca="false">MAX(0, MIN(11, 999) - MAX(9, 'Team Roster'!E11) + 1) * D10</f>
        <v>2160</v>
      </c>
      <c r="I10" s="39" t="n">
        <f aca="false">MAX(0, MIN(14, 999) - MAX(12, 'Team Roster'!E11) + 1) * D10</f>
        <v>2160</v>
      </c>
      <c r="J10" s="39" t="n">
        <f aca="false">MAX(0, MIN(17, 999) - MAX(15, 'Team Roster'!E11) + 1) * D10</f>
        <v>2160</v>
      </c>
      <c r="K10" s="39" t="n">
        <f aca="false">MAX(0, MIN(20, 999) - MAX(18, 'Team Roster'!E11) + 1) * D10</f>
        <v>2160</v>
      </c>
      <c r="L10" s="39" t="n">
        <f aca="false">MAX(0, MIN(23, 999) - MAX(21, 'Team Roster'!E11) + 1) * D10</f>
        <v>2160</v>
      </c>
      <c r="M10" s="39" t="n">
        <f aca="false">MAX(0, MIN(26, 999) - MAX(24, 'Team Roster'!E11) + 1) * D10</f>
        <v>2160</v>
      </c>
      <c r="N10" s="40" t="n">
        <f aca="false">SUM(E10:M10)</f>
        <v>16560</v>
      </c>
    </row>
    <row r="11" customFormat="false" ht="15" hidden="false" customHeight="false" outlineLevel="0" collapsed="false">
      <c r="A11" s="28" t="n">
        <v>8</v>
      </c>
      <c r="B11" s="29" t="s">
        <v>133</v>
      </c>
      <c r="C11" s="30" t="str">
        <f aca="false">'Team Roster'!G12</f>
        <v>EGP</v>
      </c>
      <c r="D11" s="34" t="n">
        <f aca="false">'Team Roster'!K12</f>
        <v>1200</v>
      </c>
      <c r="E11" s="41" t="n">
        <f aca="false">MAX(0, MIN(2, 999) - MAX(1, 'Team Roster'!E12) + 1) * D11</f>
        <v>0</v>
      </c>
      <c r="F11" s="41" t="n">
        <f aca="false">MAX(0, MIN(5, 999) - MAX(3, 'Team Roster'!E12) + 1) * D11</f>
        <v>3600</v>
      </c>
      <c r="G11" s="41" t="n">
        <f aca="false">MAX(0, MIN(8, 999) - MAX(6, 'Team Roster'!E12) + 1) * D11</f>
        <v>3600</v>
      </c>
      <c r="H11" s="41" t="n">
        <f aca="false">MAX(0, MIN(11, 999) - MAX(9, 'Team Roster'!E12) + 1) * D11</f>
        <v>3600</v>
      </c>
      <c r="I11" s="41" t="n">
        <f aca="false">MAX(0, MIN(14, 999) - MAX(12, 'Team Roster'!E12) + 1) * D11</f>
        <v>3600</v>
      </c>
      <c r="J11" s="41" t="n">
        <f aca="false">MAX(0, MIN(17, 999) - MAX(15, 'Team Roster'!E12) + 1) * D11</f>
        <v>3600</v>
      </c>
      <c r="K11" s="41" t="n">
        <f aca="false">MAX(0, MIN(20, 999) - MAX(18, 'Team Roster'!E12) + 1) * D11</f>
        <v>3600</v>
      </c>
      <c r="L11" s="41" t="n">
        <f aca="false">MAX(0, MIN(23, 999) - MAX(21, 'Team Roster'!E12) + 1) * D11</f>
        <v>3600</v>
      </c>
      <c r="M11" s="41" t="n">
        <f aca="false">MAX(0, MIN(26, 999) - MAX(24, 'Team Roster'!E12) + 1) * D11</f>
        <v>3600</v>
      </c>
      <c r="N11" s="42" t="n">
        <f aca="false">SUM(E11:M11)</f>
        <v>28800</v>
      </c>
    </row>
    <row r="12" customFormat="false" ht="15" hidden="false" customHeight="false" outlineLevel="0" collapsed="false">
      <c r="A12" s="20" t="n">
        <v>9</v>
      </c>
      <c r="B12" s="22" t="s">
        <v>135</v>
      </c>
      <c r="C12" s="24" t="str">
        <f aca="false">'Team Roster'!G13</f>
        <v>EGP</v>
      </c>
      <c r="D12" s="27" t="n">
        <f aca="false">'Team Roster'!K13</f>
        <v>840</v>
      </c>
      <c r="E12" s="39" t="n">
        <f aca="false">MAX(0, MIN(2, 999) - MAX(1, 'Team Roster'!E13) + 1) * D12</f>
        <v>0</v>
      </c>
      <c r="F12" s="39" t="n">
        <f aca="false">MAX(0, MIN(5, 999) - MAX(3, 'Team Roster'!E13) + 1) * D12</f>
        <v>0</v>
      </c>
      <c r="G12" s="39" t="n">
        <f aca="false">MAX(0, MIN(8, 999) - MAX(6, 'Team Roster'!E13) + 1) * D12</f>
        <v>2520</v>
      </c>
      <c r="H12" s="39" t="n">
        <f aca="false">MAX(0, MIN(11, 999) - MAX(9, 'Team Roster'!E13) + 1) * D12</f>
        <v>2520</v>
      </c>
      <c r="I12" s="39" t="n">
        <f aca="false">MAX(0, MIN(14, 999) - MAX(12, 'Team Roster'!E13) + 1) * D12</f>
        <v>2520</v>
      </c>
      <c r="J12" s="39" t="n">
        <f aca="false">MAX(0, MIN(17, 999) - MAX(15, 'Team Roster'!E13) + 1) * D12</f>
        <v>2520</v>
      </c>
      <c r="K12" s="39" t="n">
        <f aca="false">MAX(0, MIN(20, 999) - MAX(18, 'Team Roster'!E13) + 1) * D12</f>
        <v>2520</v>
      </c>
      <c r="L12" s="39" t="n">
        <f aca="false">MAX(0, MIN(23, 999) - MAX(21, 'Team Roster'!E13) + 1) * D12</f>
        <v>2520</v>
      </c>
      <c r="M12" s="39" t="n">
        <f aca="false">MAX(0, MIN(26, 999) - MAX(24, 'Team Roster'!E13) + 1) * D12</f>
        <v>2520</v>
      </c>
      <c r="N12" s="40" t="n">
        <f aca="false">SUM(E12:M12)</f>
        <v>17640</v>
      </c>
    </row>
    <row r="13" customFormat="false" ht="15" hidden="false" customHeight="false" outlineLevel="0" collapsed="false">
      <c r="A13" s="28" t="n">
        <v>10</v>
      </c>
      <c r="B13" s="29" t="s">
        <v>138</v>
      </c>
      <c r="C13" s="30" t="str">
        <f aca="false">'Team Roster'!G14</f>
        <v>EGP</v>
      </c>
      <c r="D13" s="34" t="n">
        <f aca="false">'Team Roster'!K14</f>
        <v>912</v>
      </c>
      <c r="E13" s="41" t="n">
        <f aca="false">MAX(0, MIN(2, 999) - MAX(1, 'Team Roster'!E14) + 1) * D13</f>
        <v>0</v>
      </c>
      <c r="F13" s="41" t="n">
        <f aca="false">MAX(0, MIN(5, 999) - MAX(3, 'Team Roster'!E14) + 1) * D13</f>
        <v>0</v>
      </c>
      <c r="G13" s="41" t="n">
        <f aca="false">MAX(0, MIN(8, 999) - MAX(6, 'Team Roster'!E14) + 1) * D13</f>
        <v>2736</v>
      </c>
      <c r="H13" s="41" t="n">
        <f aca="false">MAX(0, MIN(11, 999) - MAX(9, 'Team Roster'!E14) + 1) * D13</f>
        <v>2736</v>
      </c>
      <c r="I13" s="41" t="n">
        <f aca="false">MAX(0, MIN(14, 999) - MAX(12, 'Team Roster'!E14) + 1) * D13</f>
        <v>2736</v>
      </c>
      <c r="J13" s="41" t="n">
        <f aca="false">MAX(0, MIN(17, 999) - MAX(15, 'Team Roster'!E14) + 1) * D13</f>
        <v>2736</v>
      </c>
      <c r="K13" s="41" t="n">
        <f aca="false">MAX(0, MIN(20, 999) - MAX(18, 'Team Roster'!E14) + 1) * D13</f>
        <v>2736</v>
      </c>
      <c r="L13" s="41" t="n">
        <f aca="false">MAX(0, MIN(23, 999) - MAX(21, 'Team Roster'!E14) + 1) * D13</f>
        <v>2736</v>
      </c>
      <c r="M13" s="41" t="n">
        <f aca="false">MAX(0, MIN(26, 999) - MAX(24, 'Team Roster'!E14) + 1) * D13</f>
        <v>2736</v>
      </c>
      <c r="N13" s="42" t="n">
        <f aca="false">SUM(E13:M13)</f>
        <v>19152</v>
      </c>
    </row>
    <row r="14" customFormat="false" ht="15" hidden="false" customHeight="false" outlineLevel="0" collapsed="false">
      <c r="A14" s="20" t="n">
        <v>11</v>
      </c>
      <c r="B14" s="22" t="s">
        <v>140</v>
      </c>
      <c r="C14" s="24" t="str">
        <f aca="false">'Team Roster'!G15</f>
        <v>EGP</v>
      </c>
      <c r="D14" s="27" t="n">
        <f aca="false">'Team Roster'!K15</f>
        <v>600</v>
      </c>
      <c r="E14" s="39" t="n">
        <f aca="false">MAX(0, MIN(2, 999) - MAX(1, 'Team Roster'!E15) + 1) * D14</f>
        <v>1200</v>
      </c>
      <c r="F14" s="39" t="n">
        <f aca="false">MAX(0, MIN(5, 999) - MAX(3, 'Team Roster'!E15) + 1) * D14</f>
        <v>1800</v>
      </c>
      <c r="G14" s="39" t="n">
        <f aca="false">MAX(0, MIN(8, 999) - MAX(6, 'Team Roster'!E15) + 1) * D14</f>
        <v>1800</v>
      </c>
      <c r="H14" s="39" t="n">
        <f aca="false">MAX(0, MIN(11, 999) - MAX(9, 'Team Roster'!E15) + 1) * D14</f>
        <v>1800</v>
      </c>
      <c r="I14" s="39" t="n">
        <f aca="false">MAX(0, MIN(14, 999) - MAX(12, 'Team Roster'!E15) + 1) * D14</f>
        <v>1800</v>
      </c>
      <c r="J14" s="39" t="n">
        <f aca="false">MAX(0, MIN(17, 999) - MAX(15, 'Team Roster'!E15) + 1) * D14</f>
        <v>1800</v>
      </c>
      <c r="K14" s="39" t="n">
        <f aca="false">MAX(0, MIN(20, 999) - MAX(18, 'Team Roster'!E15) + 1) * D14</f>
        <v>1800</v>
      </c>
      <c r="L14" s="39" t="n">
        <f aca="false">MAX(0, MIN(23, 999) - MAX(21, 'Team Roster'!E15) + 1) * D14</f>
        <v>1800</v>
      </c>
      <c r="M14" s="39" t="n">
        <f aca="false">MAX(0, MIN(26, 999) - MAX(24, 'Team Roster'!E15) + 1) * D14</f>
        <v>1800</v>
      </c>
      <c r="N14" s="40" t="n">
        <f aca="false">SUM(E14:M14)</f>
        <v>15600</v>
      </c>
    </row>
    <row r="15" customFormat="false" ht="15" hidden="false" customHeight="false" outlineLevel="0" collapsed="false">
      <c r="A15" s="28" t="n">
        <v>12</v>
      </c>
      <c r="B15" s="29" t="s">
        <v>142</v>
      </c>
      <c r="C15" s="30" t="str">
        <f aca="false">'Team Roster'!G16</f>
        <v>EGP</v>
      </c>
      <c r="D15" s="34" t="n">
        <f aca="false">'Team Roster'!K16</f>
        <v>960</v>
      </c>
      <c r="E15" s="41" t="n">
        <f aca="false">MAX(0, MIN(2, 999) - MAX(1, 'Team Roster'!E16) + 1) * D15</f>
        <v>1920</v>
      </c>
      <c r="F15" s="41" t="n">
        <f aca="false">MAX(0, MIN(5, 999) - MAX(3, 'Team Roster'!E16) + 1) * D15</f>
        <v>2880</v>
      </c>
      <c r="G15" s="41" t="n">
        <f aca="false">MAX(0, MIN(8, 999) - MAX(6, 'Team Roster'!E16) + 1) * D15</f>
        <v>2880</v>
      </c>
      <c r="H15" s="41" t="n">
        <f aca="false">MAX(0, MIN(11, 999) - MAX(9, 'Team Roster'!E16) + 1) * D15</f>
        <v>2880</v>
      </c>
      <c r="I15" s="41" t="n">
        <f aca="false">MAX(0, MIN(14, 999) - MAX(12, 'Team Roster'!E16) + 1) * D15</f>
        <v>2880</v>
      </c>
      <c r="J15" s="41" t="n">
        <f aca="false">MAX(0, MIN(17, 999) - MAX(15, 'Team Roster'!E16) + 1) * D15</f>
        <v>2880</v>
      </c>
      <c r="K15" s="41" t="n">
        <f aca="false">MAX(0, MIN(20, 999) - MAX(18, 'Team Roster'!E16) + 1) * D15</f>
        <v>2880</v>
      </c>
      <c r="L15" s="41" t="n">
        <f aca="false">MAX(0, MIN(23, 999) - MAX(21, 'Team Roster'!E16) + 1) * D15</f>
        <v>2880</v>
      </c>
      <c r="M15" s="41" t="n">
        <f aca="false">MAX(0, MIN(26, 999) - MAX(24, 'Team Roster'!E16) + 1) * D15</f>
        <v>2880</v>
      </c>
      <c r="N15" s="42" t="n">
        <f aca="false">SUM(E15:M15)</f>
        <v>24960</v>
      </c>
    </row>
    <row r="17" customFormat="false" ht="15" hidden="false" customHeight="false" outlineLevel="0" collapsed="false">
      <c r="A17" s="36"/>
      <c r="B17" s="37" t="s">
        <v>148</v>
      </c>
      <c r="C17" s="36"/>
      <c r="D17" s="38" t="n">
        <f aca="false">SUM(D4:D15)</f>
        <v>8952</v>
      </c>
      <c r="E17" s="38" t="n">
        <f aca="false">SUM(E4:E15)</f>
        <v>5040</v>
      </c>
      <c r="F17" s="38" t="n">
        <f aca="false">SUM(F4:F15)</f>
        <v>20880</v>
      </c>
      <c r="G17" s="38" t="n">
        <f aca="false">SUM(G4:G15)</f>
        <v>26856</v>
      </c>
      <c r="H17" s="38" t="n">
        <f aca="false">SUM(H4:H15)</f>
        <v>26856</v>
      </c>
      <c r="I17" s="38" t="n">
        <f aca="false">SUM(I4:I15)</f>
        <v>26856</v>
      </c>
      <c r="J17" s="38" t="n">
        <f aca="false">SUM(J4:J15)</f>
        <v>26856</v>
      </c>
      <c r="K17" s="38" t="n">
        <f aca="false">SUM(K4:K15)</f>
        <v>26856</v>
      </c>
      <c r="L17" s="38" t="n">
        <f aca="false">SUM(L4:L15)</f>
        <v>26856</v>
      </c>
      <c r="M17" s="38" t="n">
        <f aca="false">SUM(M4:M15)</f>
        <v>26856</v>
      </c>
      <c r="N17" s="38" t="n">
        <f aca="false">SUM(N4:N15)</f>
        <v>213912</v>
      </c>
    </row>
    <row r="19" customFormat="false" ht="21.75" hidden="false" customHeight="true" outlineLevel="0" collapsed="false">
      <c r="A19" s="4" t="s">
        <v>149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26.85" hidden="false" customHeight="false" outlineLevel="0" collapsed="false">
      <c r="A20" s="43"/>
      <c r="B20" s="21" t="s">
        <v>150</v>
      </c>
      <c r="C20" s="43"/>
      <c r="D20" s="21" t="s">
        <v>151</v>
      </c>
      <c r="E20" s="21" t="s">
        <v>83</v>
      </c>
      <c r="F20" s="21" t="s">
        <v>85</v>
      </c>
      <c r="G20" s="21" t="s">
        <v>87</v>
      </c>
      <c r="H20" s="21" t="s">
        <v>89</v>
      </c>
      <c r="I20" s="21" t="s">
        <v>91</v>
      </c>
      <c r="J20" s="21" t="s">
        <v>93</v>
      </c>
      <c r="K20" s="21" t="s">
        <v>95</v>
      </c>
      <c r="L20" s="21" t="s">
        <v>97</v>
      </c>
      <c r="M20" s="21" t="s">
        <v>99</v>
      </c>
      <c r="N20" s="21" t="s">
        <v>147</v>
      </c>
    </row>
    <row r="21" customFormat="false" ht="15" hidden="false" customHeight="false" outlineLevel="0" collapsed="false">
      <c r="A21" s="44"/>
      <c r="B21" s="13" t="s">
        <v>66</v>
      </c>
      <c r="C21" s="44"/>
      <c r="D21" s="45" t="n">
        <f aca="false">SUMPRODUCT(('Team Roster'!G5:G16="EGP")*('Team Roster'!I5:I16))</f>
        <v>447600</v>
      </c>
      <c r="E21" s="46" t="n">
        <f aca="false">SUMPRODUCT(('Team Roster'!$G$5:$G$16="EGP")*('Team Roster'!$I$5:$I$16)*((2&gt;='Team Roster'!$E$5:$E$16)*(2-IF(1&gt;'Team Roster'!$E$5:$E$16,1,'Team Roster'!$E$5:$E$16)+1)))</f>
        <v>252000</v>
      </c>
      <c r="F21" s="46" t="n">
        <f aca="false">SUMPRODUCT(('Team Roster'!$G$5:$G$16="EGP")*('Team Roster'!$I$5:$I$16)*((5&gt;='Team Roster'!$E$5:$E$16)*(5-IF(3&gt;'Team Roster'!$E$5:$E$16,3,'Team Roster'!$E$5:$E$16)+1)))</f>
        <v>1044000</v>
      </c>
      <c r="G21" s="46" t="n">
        <f aca="false">SUMPRODUCT(('Team Roster'!$G$5:$G$16="EGP")*('Team Roster'!$I$5:$I$16)*((8&gt;='Team Roster'!$E$5:$E$16)*(8-IF(6&gt;'Team Roster'!$E$5:$E$16,6,'Team Roster'!$E$5:$E$16)+1)))</f>
        <v>1342800</v>
      </c>
      <c r="H21" s="46" t="n">
        <f aca="false">SUMPRODUCT(('Team Roster'!$G$5:$G$16="EGP")*('Team Roster'!$I$5:$I$16)*((11&gt;='Team Roster'!$E$5:$E$16)*(11-IF(9&gt;'Team Roster'!$E$5:$E$16,9,'Team Roster'!$E$5:$E$16)+1)))</f>
        <v>1342800</v>
      </c>
      <c r="I21" s="46" t="n">
        <f aca="false">SUMPRODUCT(('Team Roster'!$G$5:$G$16="EGP")*('Team Roster'!$I$5:$I$16)*((14&gt;='Team Roster'!$E$5:$E$16)*(14-IF(12&gt;'Team Roster'!$E$5:$E$16,12,'Team Roster'!$E$5:$E$16)+1)))</f>
        <v>1342800</v>
      </c>
      <c r="J21" s="46" t="n">
        <f aca="false">SUMPRODUCT(('Team Roster'!$G$5:$G$16="EGP")*('Team Roster'!$I$5:$I$16)*((17&gt;='Team Roster'!$E$5:$E$16)*(17-IF(15&gt;'Team Roster'!$E$5:$E$16,15,'Team Roster'!$E$5:$E$16)+1)))</f>
        <v>1342800</v>
      </c>
      <c r="K21" s="46" t="n">
        <f aca="false">SUMPRODUCT(('Team Roster'!$G$5:$G$16="EGP")*('Team Roster'!$I$5:$I$16)*((20&gt;='Team Roster'!$E$5:$E$16)*(20-IF(18&gt;'Team Roster'!$E$5:$E$16,18,'Team Roster'!$E$5:$E$16)+1)))</f>
        <v>1342800</v>
      </c>
      <c r="L21" s="46" t="n">
        <f aca="false">SUMPRODUCT(('Team Roster'!$G$5:$G$16="EGP")*('Team Roster'!$I$5:$I$16)*((23&gt;='Team Roster'!$E$5:$E$16)*(23-IF(21&gt;'Team Roster'!$E$5:$E$16,21,'Team Roster'!$E$5:$E$16)+1)))</f>
        <v>1342800</v>
      </c>
      <c r="M21" s="46" t="n">
        <f aca="false">SUMPRODUCT(('Team Roster'!$G$5:$G$16="EGP")*('Team Roster'!$I$5:$I$16)*((26&gt;='Team Roster'!$E$5:$E$16)*(26-IF(24&gt;'Team Roster'!$E$5:$E$16,24,'Team Roster'!$E$5:$E$16)+1)))</f>
        <v>1342800</v>
      </c>
      <c r="N21" s="47" t="n">
        <f aca="false">SUM(E21:M21)</f>
        <v>10695600</v>
      </c>
    </row>
  </sheetData>
  <mergeCells count="2">
    <mergeCell ref="A1:N1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7" min="6" style="0" width="16"/>
    <col collapsed="false" customWidth="true" hidden="false" outlineLevel="0" max="16" min="8" style="0" width="14"/>
    <col collapsed="false" customWidth="true" hidden="false" outlineLevel="0" max="17" min="17" style="0" width="18"/>
  </cols>
  <sheetData>
    <row r="1" customFormat="false" ht="27.7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26.85" hidden="false" customHeight="false" outlineLevel="0" collapsed="false">
      <c r="A3" s="9" t="s">
        <v>102</v>
      </c>
      <c r="B3" s="9" t="s">
        <v>153</v>
      </c>
      <c r="C3" s="9" t="s">
        <v>79</v>
      </c>
      <c r="D3" s="9" t="s">
        <v>154</v>
      </c>
      <c r="E3" s="9" t="s">
        <v>107</v>
      </c>
      <c r="F3" s="9" t="s">
        <v>155</v>
      </c>
      <c r="G3" s="9" t="s">
        <v>156</v>
      </c>
      <c r="H3" s="9" t="s">
        <v>83</v>
      </c>
      <c r="I3" s="9" t="s">
        <v>85</v>
      </c>
      <c r="J3" s="9" t="s">
        <v>87</v>
      </c>
      <c r="K3" s="9" t="s">
        <v>89</v>
      </c>
      <c r="L3" s="9" t="s">
        <v>91</v>
      </c>
      <c r="M3" s="9" t="s">
        <v>93</v>
      </c>
      <c r="N3" s="9" t="s">
        <v>95</v>
      </c>
      <c r="O3" s="9" t="s">
        <v>97</v>
      </c>
      <c r="P3" s="9" t="s">
        <v>99</v>
      </c>
      <c r="Q3" s="9" t="s">
        <v>157</v>
      </c>
    </row>
    <row r="4" customFormat="false" ht="15" hidden="false" customHeight="false" outlineLevel="0" collapsed="false">
      <c r="A4" s="20" t="n">
        <v>1</v>
      </c>
      <c r="B4" s="22" t="s">
        <v>158</v>
      </c>
      <c r="C4" s="19" t="n">
        <v>1</v>
      </c>
      <c r="D4" s="19" t="n">
        <v>12</v>
      </c>
      <c r="E4" s="19" t="s">
        <v>66</v>
      </c>
      <c r="F4" s="25" t="n">
        <v>0</v>
      </c>
      <c r="G4" s="27" t="n">
        <f aca="false">IFERROR(F4/INDEX(Assumptions!$C$10:$C$15,MATCH(E4,Assumptions!$A$10:$A$15,0)),0)</f>
        <v>0</v>
      </c>
      <c r="H4" s="39" t="n">
        <f aca="false">MAX(0, MIN(2, C4+D4-1) - MAX(1, C4) + 1) * G4</f>
        <v>0</v>
      </c>
      <c r="I4" s="39" t="n">
        <f aca="false">MAX(0, MIN(5, C4+D4-1) - MAX(3, C4) + 1) * G4</f>
        <v>0</v>
      </c>
      <c r="J4" s="39" t="n">
        <f aca="false">MAX(0, MIN(8, C4+D4-1) - MAX(6, C4) + 1) * G4</f>
        <v>0</v>
      </c>
      <c r="K4" s="39" t="n">
        <f aca="false">MAX(0, MIN(11, C4+D4-1) - MAX(9, C4) + 1) * G4</f>
        <v>0</v>
      </c>
      <c r="L4" s="39" t="n">
        <f aca="false">MAX(0, MIN(14, C4+D4-1) - MAX(12, C4) + 1) * G4</f>
        <v>0</v>
      </c>
      <c r="M4" s="39" t="n">
        <f aca="false">MAX(0, MIN(17, C4+D4-1) - MAX(15, C4) + 1) * G4</f>
        <v>0</v>
      </c>
      <c r="N4" s="39" t="n">
        <f aca="false">MAX(0, MIN(20, C4+D4-1) - MAX(18, C4) + 1) * G4</f>
        <v>0</v>
      </c>
      <c r="O4" s="39" t="n">
        <f aca="false">MAX(0, MIN(23, C4+D4-1) - MAX(21, C4) + 1) * G4</f>
        <v>0</v>
      </c>
      <c r="P4" s="39" t="n">
        <f aca="false">MAX(0, MIN(26, C4+D4-1) - MAX(24, C4) + 1) * G4</f>
        <v>0</v>
      </c>
      <c r="Q4" s="40" t="n">
        <f aca="false">SUM(H4:P4)</f>
        <v>0</v>
      </c>
    </row>
    <row r="5" customFormat="false" ht="15" hidden="false" customHeight="false" outlineLevel="0" collapsed="false">
      <c r="A5" s="28" t="n">
        <v>2</v>
      </c>
      <c r="B5" s="29" t="s">
        <v>159</v>
      </c>
      <c r="C5" s="31" t="n">
        <v>3</v>
      </c>
      <c r="D5" s="31" t="n">
        <v>2</v>
      </c>
      <c r="E5" s="31" t="s">
        <v>66</v>
      </c>
      <c r="F5" s="32" t="n">
        <v>25000</v>
      </c>
      <c r="G5" s="34" t="n">
        <f aca="false">IFERROR(F5/INDEX(Assumptions!$C$10:$C$15,MATCH(E5,Assumptions!$A$10:$A$15,0)),0)</f>
        <v>500</v>
      </c>
      <c r="H5" s="41" t="n">
        <f aca="false">MAX(0, MIN(2, C5+D5-1) - MAX(1, C5) + 1) * G5</f>
        <v>0</v>
      </c>
      <c r="I5" s="41" t="n">
        <f aca="false">MAX(0, MIN(5, C5+D5-1) - MAX(3, C5) + 1) * G5</f>
        <v>1000</v>
      </c>
      <c r="J5" s="41" t="n">
        <f aca="false">MAX(0, MIN(8, C5+D5-1) - MAX(6, C5) + 1) * G5</f>
        <v>0</v>
      </c>
      <c r="K5" s="41" t="n">
        <f aca="false">MAX(0, MIN(11, C5+D5-1) - MAX(9, C5) + 1) * G5</f>
        <v>0</v>
      </c>
      <c r="L5" s="41" t="n">
        <f aca="false">MAX(0, MIN(14, C5+D5-1) - MAX(12, C5) + 1) * G5</f>
        <v>0</v>
      </c>
      <c r="M5" s="41" t="n">
        <f aca="false">MAX(0, MIN(17, C5+D5-1) - MAX(15, C5) + 1) * G5</f>
        <v>0</v>
      </c>
      <c r="N5" s="41" t="n">
        <f aca="false">MAX(0, MIN(20, C5+D5-1) - MAX(18, C5) + 1) * G5</f>
        <v>0</v>
      </c>
      <c r="O5" s="41" t="n">
        <f aca="false">MAX(0, MIN(23, C5+D5-1) - MAX(21, C5) + 1) * G5</f>
        <v>0</v>
      </c>
      <c r="P5" s="41" t="n">
        <f aca="false">MAX(0, MIN(26, C5+D5-1) - MAX(24, C5) + 1) * G5</f>
        <v>0</v>
      </c>
      <c r="Q5" s="42" t="n">
        <f aca="false">SUM(H5:P5)</f>
        <v>1000</v>
      </c>
    </row>
    <row r="6" customFormat="false" ht="15" hidden="false" customHeight="false" outlineLevel="0" collapsed="false">
      <c r="A6" s="20" t="n">
        <v>3</v>
      </c>
      <c r="B6" s="22" t="s">
        <v>160</v>
      </c>
      <c r="C6" s="19" t="n">
        <v>9</v>
      </c>
      <c r="D6" s="19" t="n">
        <v>1</v>
      </c>
      <c r="E6" s="19" t="s">
        <v>63</v>
      </c>
      <c r="F6" s="35" t="n">
        <v>2500</v>
      </c>
      <c r="G6" s="27" t="n">
        <f aca="false">IFERROR(F6/INDEX(Assumptions!$C$10:$C$15,MATCH(E6,Assumptions!$A$10:$A$15,0)),0)</f>
        <v>2500</v>
      </c>
      <c r="H6" s="39" t="n">
        <f aca="false">MAX(0, MIN(2, C6+D6-1) - MAX(1, C6) + 1) * G6</f>
        <v>0</v>
      </c>
      <c r="I6" s="39" t="n">
        <f aca="false">MAX(0, MIN(5, C6+D6-1) - MAX(3, C6) + 1) * G6</f>
        <v>0</v>
      </c>
      <c r="J6" s="39" t="n">
        <f aca="false">MAX(0, MIN(8, C6+D6-1) - MAX(6, C6) + 1) * G6</f>
        <v>0</v>
      </c>
      <c r="K6" s="39" t="n">
        <f aca="false">MAX(0, MIN(11, C6+D6-1) - MAX(9, C6) + 1) * G6</f>
        <v>2500</v>
      </c>
      <c r="L6" s="39" t="n">
        <f aca="false">MAX(0, MIN(14, C6+D6-1) - MAX(12, C6) + 1) * G6</f>
        <v>0</v>
      </c>
      <c r="M6" s="39" t="n">
        <f aca="false">MAX(0, MIN(17, C6+D6-1) - MAX(15, C6) + 1) * G6</f>
        <v>0</v>
      </c>
      <c r="N6" s="39" t="n">
        <f aca="false">MAX(0, MIN(20, C6+D6-1) - MAX(18, C6) + 1) * G6</f>
        <v>0</v>
      </c>
      <c r="O6" s="39" t="n">
        <f aca="false">MAX(0, MIN(23, C6+D6-1) - MAX(21, C6) + 1) * G6</f>
        <v>0</v>
      </c>
      <c r="P6" s="39" t="n">
        <f aca="false">MAX(0, MIN(26, C6+D6-1) - MAX(24, C6) + 1) * G6</f>
        <v>0</v>
      </c>
      <c r="Q6" s="40" t="n">
        <f aca="false">SUM(H6:P6)</f>
        <v>2500</v>
      </c>
    </row>
    <row r="7" customFormat="false" ht="15" hidden="false" customHeight="false" outlineLevel="0" collapsed="false">
      <c r="A7" s="28" t="n">
        <v>4</v>
      </c>
      <c r="B7" s="29" t="s">
        <v>161</v>
      </c>
      <c r="C7" s="31" t="n">
        <v>1</v>
      </c>
      <c r="D7" s="31" t="n">
        <v>6</v>
      </c>
      <c r="E7" s="31" t="s">
        <v>66</v>
      </c>
      <c r="F7" s="32" t="n">
        <v>15000</v>
      </c>
      <c r="G7" s="34" t="n">
        <f aca="false">IFERROR(F7/INDEX(Assumptions!$C$10:$C$15,MATCH(E7,Assumptions!$A$10:$A$15,0)),0)</f>
        <v>300</v>
      </c>
      <c r="H7" s="41" t="n">
        <f aca="false">MAX(0, MIN(2, C7+D7-1) - MAX(1, C7) + 1) * G7</f>
        <v>600</v>
      </c>
      <c r="I7" s="41" t="n">
        <f aca="false">MAX(0, MIN(5, C7+D7-1) - MAX(3, C7) + 1) * G7</f>
        <v>900</v>
      </c>
      <c r="J7" s="41" t="n">
        <f aca="false">MAX(0, MIN(8, C7+D7-1) - MAX(6, C7) + 1) * G7</f>
        <v>300</v>
      </c>
      <c r="K7" s="41" t="n">
        <f aca="false">MAX(0, MIN(11, C7+D7-1) - MAX(9, C7) + 1) * G7</f>
        <v>0</v>
      </c>
      <c r="L7" s="41" t="n">
        <f aca="false">MAX(0, MIN(14, C7+D7-1) - MAX(12, C7) + 1) * G7</f>
        <v>0</v>
      </c>
      <c r="M7" s="41" t="n">
        <f aca="false">MAX(0, MIN(17, C7+D7-1) - MAX(15, C7) + 1) * G7</f>
        <v>0</v>
      </c>
      <c r="N7" s="41" t="n">
        <f aca="false">MAX(0, MIN(20, C7+D7-1) - MAX(18, C7) + 1) * G7</f>
        <v>0</v>
      </c>
      <c r="O7" s="41" t="n">
        <f aca="false">MAX(0, MIN(23, C7+D7-1) - MAX(21, C7) + 1) * G7</f>
        <v>0</v>
      </c>
      <c r="P7" s="41" t="n">
        <f aca="false">MAX(0, MIN(26, C7+D7-1) - MAX(24, C7) + 1) * G7</f>
        <v>0</v>
      </c>
      <c r="Q7" s="42" t="n">
        <f aca="false">SUM(H7:P7)</f>
        <v>1800</v>
      </c>
    </row>
    <row r="9" customFormat="false" ht="15" hidden="false" customHeight="false" outlineLevel="0" collapsed="false">
      <c r="A9" s="36"/>
      <c r="B9" s="37" t="s">
        <v>162</v>
      </c>
      <c r="C9" s="36"/>
      <c r="D9" s="36"/>
      <c r="E9" s="36"/>
      <c r="F9" s="36"/>
      <c r="G9" s="38" t="n">
        <f aca="false">SUM(G4:G7)</f>
        <v>3300</v>
      </c>
      <c r="H9" s="38" t="n">
        <f aca="false">SUM(H4:H7)</f>
        <v>600</v>
      </c>
      <c r="I9" s="38" t="n">
        <f aca="false">SUM(I4:I7)</f>
        <v>1900</v>
      </c>
      <c r="J9" s="38" t="n">
        <f aca="false">SUM(J4:J7)</f>
        <v>300</v>
      </c>
      <c r="K9" s="38" t="n">
        <f aca="false">SUM(K4:K7)</f>
        <v>2500</v>
      </c>
      <c r="L9" s="38" t="n">
        <f aca="false">SUM(L4:L7)</f>
        <v>0</v>
      </c>
      <c r="M9" s="38" t="n">
        <f aca="false">SUM(M4:M7)</f>
        <v>0</v>
      </c>
      <c r="N9" s="38" t="n">
        <f aca="false">SUM(N4:N7)</f>
        <v>0</v>
      </c>
      <c r="O9" s="38" t="n">
        <f aca="false">SUM(O4:O7)</f>
        <v>0</v>
      </c>
      <c r="P9" s="38" t="n">
        <f aca="false">SUM(P4:P7)</f>
        <v>0</v>
      </c>
      <c r="Q9" s="38" t="n">
        <f aca="false">SUM(Q4:Q7)</f>
        <v>5300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15" min="7" style="0" width="14"/>
    <col collapsed="false" customWidth="true" hidden="false" outlineLevel="0" max="16" min="16" style="0" width="18"/>
  </cols>
  <sheetData>
    <row r="1" customFormat="false" ht="27.7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6.85" hidden="false" customHeight="false" outlineLevel="0" collapsed="false">
      <c r="A3" s="9" t="s">
        <v>102</v>
      </c>
      <c r="B3" s="9" t="s">
        <v>164</v>
      </c>
      <c r="C3" s="9" t="s">
        <v>79</v>
      </c>
      <c r="D3" s="9" t="s">
        <v>107</v>
      </c>
      <c r="E3" s="9" t="s">
        <v>155</v>
      </c>
      <c r="F3" s="9" t="s">
        <v>156</v>
      </c>
      <c r="G3" s="9" t="s">
        <v>83</v>
      </c>
      <c r="H3" s="9" t="s">
        <v>85</v>
      </c>
      <c r="I3" s="9" t="s">
        <v>87</v>
      </c>
      <c r="J3" s="9" t="s">
        <v>89</v>
      </c>
      <c r="K3" s="9" t="s">
        <v>91</v>
      </c>
      <c r="L3" s="9" t="s">
        <v>93</v>
      </c>
      <c r="M3" s="9" t="s">
        <v>95</v>
      </c>
      <c r="N3" s="9" t="s">
        <v>97</v>
      </c>
      <c r="O3" s="9" t="s">
        <v>99</v>
      </c>
      <c r="P3" s="9" t="s">
        <v>157</v>
      </c>
    </row>
    <row r="4" customFormat="false" ht="15" hidden="false" customHeight="false" outlineLevel="0" collapsed="false">
      <c r="A4" s="20" t="n">
        <v>1</v>
      </c>
      <c r="B4" s="22" t="s">
        <v>165</v>
      </c>
      <c r="C4" s="19" t="n">
        <v>1</v>
      </c>
      <c r="D4" s="19" t="s">
        <v>63</v>
      </c>
      <c r="E4" s="35" t="n">
        <v>400</v>
      </c>
      <c r="F4" s="27" t="n">
        <f aca="false">IFERROR(E4/INDEX(Assumptions!$C$10:$C$15,MATCH(D4,Assumptions!$A$10:$A$15,0)),0)</f>
        <v>400</v>
      </c>
      <c r="G4" s="39" t="n">
        <f aca="false">MAX(0, MIN(2, 999) - MAX(1, C4) + 1) * F4</f>
        <v>800</v>
      </c>
      <c r="H4" s="39" t="n">
        <f aca="false">MAX(0, MIN(5, 999) - MAX(3, C4) + 1) * F4</f>
        <v>1200</v>
      </c>
      <c r="I4" s="39" t="n">
        <f aca="false">MAX(0, MIN(8, 999) - MAX(6, C4) + 1) * F4</f>
        <v>1200</v>
      </c>
      <c r="J4" s="39" t="n">
        <f aca="false">MAX(0, MIN(11, 999) - MAX(9, C4) + 1) * F4</f>
        <v>1200</v>
      </c>
      <c r="K4" s="39" t="n">
        <f aca="false">MAX(0, MIN(14, 999) - MAX(12, C4) + 1) * F4</f>
        <v>1200</v>
      </c>
      <c r="L4" s="39" t="n">
        <f aca="false">MAX(0, MIN(17, 999) - MAX(15, C4) + 1) * F4</f>
        <v>1200</v>
      </c>
      <c r="M4" s="39" t="n">
        <f aca="false">MAX(0, MIN(20, 999) - MAX(18, C4) + 1) * F4</f>
        <v>1200</v>
      </c>
      <c r="N4" s="39" t="n">
        <f aca="false">MAX(0, MIN(23, 999) - MAX(21, C4) + 1) * F4</f>
        <v>1200</v>
      </c>
      <c r="O4" s="39" t="n">
        <f aca="false">MAX(0, MIN(26, 999) - MAX(24, C4) + 1) * F4</f>
        <v>1200</v>
      </c>
      <c r="P4" s="40" t="n">
        <f aca="false">SUM(G4:O4)</f>
        <v>10400</v>
      </c>
    </row>
    <row r="5" customFormat="false" ht="15" hidden="false" customHeight="false" outlineLevel="0" collapsed="false">
      <c r="A5" s="28" t="n">
        <v>2</v>
      </c>
      <c r="B5" s="29" t="s">
        <v>166</v>
      </c>
      <c r="C5" s="31" t="n">
        <v>1</v>
      </c>
      <c r="D5" s="31" t="s">
        <v>63</v>
      </c>
      <c r="E5" s="32" t="n">
        <v>150</v>
      </c>
      <c r="F5" s="34" t="n">
        <f aca="false">IFERROR(E5/INDEX(Assumptions!$C$10:$C$15,MATCH(D5,Assumptions!$A$10:$A$15,0)),0)</f>
        <v>150</v>
      </c>
      <c r="G5" s="41" t="n">
        <f aca="false">MAX(0, MIN(2, 999) - MAX(1, C5) + 1) * F5</f>
        <v>300</v>
      </c>
      <c r="H5" s="41" t="n">
        <f aca="false">MAX(0, MIN(5, 999) - MAX(3, C5) + 1) * F5</f>
        <v>450</v>
      </c>
      <c r="I5" s="41" t="n">
        <f aca="false">MAX(0, MIN(8, 999) - MAX(6, C5) + 1) * F5</f>
        <v>450</v>
      </c>
      <c r="J5" s="41" t="n">
        <f aca="false">MAX(0, MIN(11, 999) - MAX(9, C5) + 1) * F5</f>
        <v>450</v>
      </c>
      <c r="K5" s="41" t="n">
        <f aca="false">MAX(0, MIN(14, 999) - MAX(12, C5) + 1) * F5</f>
        <v>450</v>
      </c>
      <c r="L5" s="41" t="n">
        <f aca="false">MAX(0, MIN(17, 999) - MAX(15, C5) + 1) * F5</f>
        <v>450</v>
      </c>
      <c r="M5" s="41" t="n">
        <f aca="false">MAX(0, MIN(20, 999) - MAX(18, C5) + 1) * F5</f>
        <v>450</v>
      </c>
      <c r="N5" s="41" t="n">
        <f aca="false">MAX(0, MIN(23, 999) - MAX(21, C5) + 1) * F5</f>
        <v>450</v>
      </c>
      <c r="O5" s="41" t="n">
        <f aca="false">MAX(0, MIN(26, 999) - MAX(24, C5) + 1) * F5</f>
        <v>450</v>
      </c>
      <c r="P5" s="42" t="n">
        <f aca="false">SUM(G5:O5)</f>
        <v>3900</v>
      </c>
    </row>
    <row r="6" customFormat="false" ht="15" hidden="false" customHeight="false" outlineLevel="0" collapsed="false">
      <c r="A6" s="20" t="n">
        <v>3</v>
      </c>
      <c r="B6" s="22" t="s">
        <v>167</v>
      </c>
      <c r="C6" s="19" t="n">
        <v>1</v>
      </c>
      <c r="D6" s="19" t="s">
        <v>63</v>
      </c>
      <c r="E6" s="35" t="n">
        <v>50</v>
      </c>
      <c r="F6" s="27" t="n">
        <f aca="false">IFERROR(E6/INDEX(Assumptions!$C$10:$C$15,MATCH(D6,Assumptions!$A$10:$A$15,0)),0)</f>
        <v>50</v>
      </c>
      <c r="G6" s="39" t="n">
        <f aca="false">MAX(0, MIN(2, 999) - MAX(1, C6) + 1) * F6</f>
        <v>100</v>
      </c>
      <c r="H6" s="39" t="n">
        <f aca="false">MAX(0, MIN(5, 999) - MAX(3, C6) + 1) * F6</f>
        <v>150</v>
      </c>
      <c r="I6" s="39" t="n">
        <f aca="false">MAX(0, MIN(8, 999) - MAX(6, C6) + 1) * F6</f>
        <v>150</v>
      </c>
      <c r="J6" s="39" t="n">
        <f aca="false">MAX(0, MIN(11, 999) - MAX(9, C6) + 1) * F6</f>
        <v>150</v>
      </c>
      <c r="K6" s="39" t="n">
        <f aca="false">MAX(0, MIN(14, 999) - MAX(12, C6) + 1) * F6</f>
        <v>150</v>
      </c>
      <c r="L6" s="39" t="n">
        <f aca="false">MAX(0, MIN(17, 999) - MAX(15, C6) + 1) * F6</f>
        <v>150</v>
      </c>
      <c r="M6" s="39" t="n">
        <f aca="false">MAX(0, MIN(20, 999) - MAX(18, C6) + 1) * F6</f>
        <v>150</v>
      </c>
      <c r="N6" s="39" t="n">
        <f aca="false">MAX(0, MIN(23, 999) - MAX(21, C6) + 1) * F6</f>
        <v>150</v>
      </c>
      <c r="O6" s="39" t="n">
        <f aca="false">MAX(0, MIN(26, 999) - MAX(24, C6) + 1) * F6</f>
        <v>150</v>
      </c>
      <c r="P6" s="40" t="n">
        <f aca="false">SUM(G6:O6)</f>
        <v>1300</v>
      </c>
    </row>
    <row r="7" customFormat="false" ht="15" hidden="false" customHeight="false" outlineLevel="0" collapsed="false">
      <c r="A7" s="28" t="n">
        <v>4</v>
      </c>
      <c r="B7" s="29" t="s">
        <v>168</v>
      </c>
      <c r="C7" s="31" t="n">
        <v>1</v>
      </c>
      <c r="D7" s="31" t="s">
        <v>63</v>
      </c>
      <c r="E7" s="32" t="n">
        <v>100</v>
      </c>
      <c r="F7" s="34" t="n">
        <f aca="false">IFERROR(E7/INDEX(Assumptions!$C$10:$C$15,MATCH(D7,Assumptions!$A$10:$A$15,0)),0)</f>
        <v>100</v>
      </c>
      <c r="G7" s="41" t="n">
        <f aca="false">MAX(0, MIN(2, 999) - MAX(1, C7) + 1) * F7</f>
        <v>200</v>
      </c>
      <c r="H7" s="41" t="n">
        <f aca="false">MAX(0, MIN(5, 999) - MAX(3, C7) + 1) * F7</f>
        <v>300</v>
      </c>
      <c r="I7" s="41" t="n">
        <f aca="false">MAX(0, MIN(8, 999) - MAX(6, C7) + 1) * F7</f>
        <v>300</v>
      </c>
      <c r="J7" s="41" t="n">
        <f aca="false">MAX(0, MIN(11, 999) - MAX(9, C7) + 1) * F7</f>
        <v>300</v>
      </c>
      <c r="K7" s="41" t="n">
        <f aca="false">MAX(0, MIN(14, 999) - MAX(12, C7) + 1) * F7</f>
        <v>300</v>
      </c>
      <c r="L7" s="41" t="n">
        <f aca="false">MAX(0, MIN(17, 999) - MAX(15, C7) + 1) * F7</f>
        <v>300</v>
      </c>
      <c r="M7" s="41" t="n">
        <f aca="false">MAX(0, MIN(20, 999) - MAX(18, C7) + 1) * F7</f>
        <v>300</v>
      </c>
      <c r="N7" s="41" t="n">
        <f aca="false">MAX(0, MIN(23, 999) - MAX(21, C7) + 1) * F7</f>
        <v>300</v>
      </c>
      <c r="O7" s="41" t="n">
        <f aca="false">MAX(0, MIN(26, 999) - MAX(24, C7) + 1) * F7</f>
        <v>300</v>
      </c>
      <c r="P7" s="42" t="n">
        <f aca="false">SUM(G7:O7)</f>
        <v>2600</v>
      </c>
    </row>
    <row r="8" customFormat="false" ht="15" hidden="false" customHeight="false" outlineLevel="0" collapsed="false">
      <c r="A8" s="20" t="n">
        <v>5</v>
      </c>
      <c r="B8" s="22" t="s">
        <v>169</v>
      </c>
      <c r="C8" s="19" t="n">
        <v>1</v>
      </c>
      <c r="D8" s="19" t="s">
        <v>63</v>
      </c>
      <c r="E8" s="35" t="n">
        <v>60</v>
      </c>
      <c r="F8" s="27" t="n">
        <f aca="false">IFERROR(E8/INDEX(Assumptions!$C$10:$C$15,MATCH(D8,Assumptions!$A$10:$A$15,0)),0)</f>
        <v>60</v>
      </c>
      <c r="G8" s="39" t="n">
        <f aca="false">MAX(0, MIN(2, 999) - MAX(1, C8) + 1) * F8</f>
        <v>120</v>
      </c>
      <c r="H8" s="39" t="n">
        <f aca="false">MAX(0, MIN(5, 999) - MAX(3, C8) + 1) * F8</f>
        <v>180</v>
      </c>
      <c r="I8" s="39" t="n">
        <f aca="false">MAX(0, MIN(8, 999) - MAX(6, C8) + 1) * F8</f>
        <v>180</v>
      </c>
      <c r="J8" s="39" t="n">
        <f aca="false">MAX(0, MIN(11, 999) - MAX(9, C8) + 1) * F8</f>
        <v>180</v>
      </c>
      <c r="K8" s="39" t="n">
        <f aca="false">MAX(0, MIN(14, 999) - MAX(12, C8) + 1) * F8</f>
        <v>180</v>
      </c>
      <c r="L8" s="39" t="n">
        <f aca="false">MAX(0, MIN(17, 999) - MAX(15, C8) + 1) * F8</f>
        <v>180</v>
      </c>
      <c r="M8" s="39" t="n">
        <f aca="false">MAX(0, MIN(20, 999) - MAX(18, C8) + 1) * F8</f>
        <v>180</v>
      </c>
      <c r="N8" s="39" t="n">
        <f aca="false">MAX(0, MIN(23, 999) - MAX(21, C8) + 1) * F8</f>
        <v>180</v>
      </c>
      <c r="O8" s="39" t="n">
        <f aca="false">MAX(0, MIN(26, 999) - MAX(24, C8) + 1) * F8</f>
        <v>180</v>
      </c>
      <c r="P8" s="40" t="n">
        <f aca="false">SUM(G8:O8)</f>
        <v>1560</v>
      </c>
    </row>
    <row r="9" customFormat="false" ht="15" hidden="false" customHeight="false" outlineLevel="0" collapsed="false">
      <c r="A9" s="28" t="n">
        <v>6</v>
      </c>
      <c r="B9" s="29" t="s">
        <v>170</v>
      </c>
      <c r="C9" s="31" t="n">
        <v>3</v>
      </c>
      <c r="D9" s="31" t="s">
        <v>63</v>
      </c>
      <c r="E9" s="32" t="n">
        <v>200</v>
      </c>
      <c r="F9" s="34" t="n">
        <f aca="false">IFERROR(E9/INDEX(Assumptions!$C$10:$C$15,MATCH(D9,Assumptions!$A$10:$A$15,0)),0)</f>
        <v>200</v>
      </c>
      <c r="G9" s="41" t="n">
        <f aca="false">MAX(0, MIN(2, 999) - MAX(1, C9) + 1) * F9</f>
        <v>0</v>
      </c>
      <c r="H9" s="41" t="n">
        <f aca="false">MAX(0, MIN(5, 999) - MAX(3, C9) + 1) * F9</f>
        <v>600</v>
      </c>
      <c r="I9" s="41" t="n">
        <f aca="false">MAX(0, MIN(8, 999) - MAX(6, C9) + 1) * F9</f>
        <v>600</v>
      </c>
      <c r="J9" s="41" t="n">
        <f aca="false">MAX(0, MIN(11, 999) - MAX(9, C9) + 1) * F9</f>
        <v>600</v>
      </c>
      <c r="K9" s="41" t="n">
        <f aca="false">MAX(0, MIN(14, 999) - MAX(12, C9) + 1) * F9</f>
        <v>600</v>
      </c>
      <c r="L9" s="41" t="n">
        <f aca="false">MAX(0, MIN(17, 999) - MAX(15, C9) + 1) * F9</f>
        <v>600</v>
      </c>
      <c r="M9" s="41" t="n">
        <f aca="false">MAX(0, MIN(20, 999) - MAX(18, C9) + 1) * F9</f>
        <v>600</v>
      </c>
      <c r="N9" s="41" t="n">
        <f aca="false">MAX(0, MIN(23, 999) - MAX(21, C9) + 1) * F9</f>
        <v>600</v>
      </c>
      <c r="O9" s="41" t="n">
        <f aca="false">MAX(0, MIN(26, 999) - MAX(24, C9) + 1) * F9</f>
        <v>600</v>
      </c>
      <c r="P9" s="42" t="n">
        <f aca="false">SUM(G9:O9)</f>
        <v>4800</v>
      </c>
    </row>
    <row r="10" customFormat="false" ht="15" hidden="false" customHeight="false" outlineLevel="0" collapsed="false">
      <c r="A10" s="20" t="n">
        <v>7</v>
      </c>
      <c r="B10" s="22" t="s">
        <v>171</v>
      </c>
      <c r="C10" s="19" t="n">
        <v>1</v>
      </c>
      <c r="D10" s="19" t="s">
        <v>63</v>
      </c>
      <c r="E10" s="35" t="n">
        <v>100</v>
      </c>
      <c r="F10" s="27" t="n">
        <f aca="false">IFERROR(E10/INDEX(Assumptions!$C$10:$C$15,MATCH(D10,Assumptions!$A$10:$A$15,0)),0)</f>
        <v>100</v>
      </c>
      <c r="G10" s="39" t="n">
        <f aca="false">MAX(0, MIN(2, 999) - MAX(1, C10) + 1) * F10</f>
        <v>200</v>
      </c>
      <c r="H10" s="39" t="n">
        <f aca="false">MAX(0, MIN(5, 999) - MAX(3, C10) + 1) * F10</f>
        <v>300</v>
      </c>
      <c r="I10" s="39" t="n">
        <f aca="false">MAX(0, MIN(8, 999) - MAX(6, C10) + 1) * F10</f>
        <v>300</v>
      </c>
      <c r="J10" s="39" t="n">
        <f aca="false">MAX(0, MIN(11, 999) - MAX(9, C10) + 1) * F10</f>
        <v>300</v>
      </c>
      <c r="K10" s="39" t="n">
        <f aca="false">MAX(0, MIN(14, 999) - MAX(12, C10) + 1) * F10</f>
        <v>300</v>
      </c>
      <c r="L10" s="39" t="n">
        <f aca="false">MAX(0, MIN(17, 999) - MAX(15, C10) + 1) * F10</f>
        <v>300</v>
      </c>
      <c r="M10" s="39" t="n">
        <f aca="false">MAX(0, MIN(20, 999) - MAX(18, C10) + 1) * F10</f>
        <v>300</v>
      </c>
      <c r="N10" s="39" t="n">
        <f aca="false">MAX(0, MIN(23, 999) - MAX(21, C10) + 1) * F10</f>
        <v>300</v>
      </c>
      <c r="O10" s="39" t="n">
        <f aca="false">MAX(0, MIN(26, 999) - MAX(24, C10) + 1) * F10</f>
        <v>300</v>
      </c>
      <c r="P10" s="40" t="n">
        <f aca="false">SUM(G10:O10)</f>
        <v>2600</v>
      </c>
    </row>
    <row r="11" customFormat="false" ht="15" hidden="false" customHeight="false" outlineLevel="0" collapsed="false">
      <c r="A11" s="28" t="n">
        <v>8</v>
      </c>
      <c r="B11" s="29" t="s">
        <v>172</v>
      </c>
      <c r="C11" s="31" t="n">
        <v>1</v>
      </c>
      <c r="D11" s="31" t="s">
        <v>63</v>
      </c>
      <c r="E11" s="32" t="n">
        <v>80</v>
      </c>
      <c r="F11" s="34" t="n">
        <f aca="false">IFERROR(E11/INDEX(Assumptions!$C$10:$C$15,MATCH(D11,Assumptions!$A$10:$A$15,0)),0)</f>
        <v>80</v>
      </c>
      <c r="G11" s="41" t="n">
        <f aca="false">MAX(0, MIN(2, 999) - MAX(1, C11) + 1) * F11</f>
        <v>160</v>
      </c>
      <c r="H11" s="41" t="n">
        <f aca="false">MAX(0, MIN(5, 999) - MAX(3, C11) + 1) * F11</f>
        <v>240</v>
      </c>
      <c r="I11" s="41" t="n">
        <f aca="false">MAX(0, MIN(8, 999) - MAX(6, C11) + 1) * F11</f>
        <v>240</v>
      </c>
      <c r="J11" s="41" t="n">
        <f aca="false">MAX(0, MIN(11, 999) - MAX(9, C11) + 1) * F11</f>
        <v>240</v>
      </c>
      <c r="K11" s="41" t="n">
        <f aca="false">MAX(0, MIN(14, 999) - MAX(12, C11) + 1) * F11</f>
        <v>240</v>
      </c>
      <c r="L11" s="41" t="n">
        <f aca="false">MAX(0, MIN(17, 999) - MAX(15, C11) + 1) * F11</f>
        <v>240</v>
      </c>
      <c r="M11" s="41" t="n">
        <f aca="false">MAX(0, MIN(20, 999) - MAX(18, C11) + 1) * F11</f>
        <v>240</v>
      </c>
      <c r="N11" s="41" t="n">
        <f aca="false">MAX(0, MIN(23, 999) - MAX(21, C11) + 1) * F11</f>
        <v>240</v>
      </c>
      <c r="O11" s="41" t="n">
        <f aca="false">MAX(0, MIN(26, 999) - MAX(24, C11) + 1) * F11</f>
        <v>240</v>
      </c>
      <c r="P11" s="42" t="n">
        <f aca="false">SUM(G11:O11)</f>
        <v>2080</v>
      </c>
    </row>
    <row r="12" customFormat="false" ht="15" hidden="false" customHeight="false" outlineLevel="0" collapsed="false">
      <c r="A12" s="20" t="n">
        <v>9</v>
      </c>
      <c r="B12" s="22" t="s">
        <v>173</v>
      </c>
      <c r="C12" s="19" t="n">
        <v>3</v>
      </c>
      <c r="D12" s="19" t="s">
        <v>63</v>
      </c>
      <c r="E12" s="35" t="n">
        <v>60</v>
      </c>
      <c r="F12" s="27" t="n">
        <f aca="false">IFERROR(E12/INDEX(Assumptions!$C$10:$C$15,MATCH(D12,Assumptions!$A$10:$A$15,0)),0)</f>
        <v>60</v>
      </c>
      <c r="G12" s="39" t="n">
        <f aca="false">MAX(0, MIN(2, 999) - MAX(1, C12) + 1) * F12</f>
        <v>0</v>
      </c>
      <c r="H12" s="39" t="n">
        <f aca="false">MAX(0, MIN(5, 999) - MAX(3, C12) + 1) * F12</f>
        <v>180</v>
      </c>
      <c r="I12" s="39" t="n">
        <f aca="false">MAX(0, MIN(8, 999) - MAX(6, C12) + 1) * F12</f>
        <v>180</v>
      </c>
      <c r="J12" s="39" t="n">
        <f aca="false">MAX(0, MIN(11, 999) - MAX(9, C12) + 1) * F12</f>
        <v>180</v>
      </c>
      <c r="K12" s="39" t="n">
        <f aca="false">MAX(0, MIN(14, 999) - MAX(12, C12) + 1) * F12</f>
        <v>180</v>
      </c>
      <c r="L12" s="39" t="n">
        <f aca="false">MAX(0, MIN(17, 999) - MAX(15, C12) + 1) * F12</f>
        <v>180</v>
      </c>
      <c r="M12" s="39" t="n">
        <f aca="false">MAX(0, MIN(20, 999) - MAX(18, C12) + 1) * F12</f>
        <v>180</v>
      </c>
      <c r="N12" s="39" t="n">
        <f aca="false">MAX(0, MIN(23, 999) - MAX(21, C12) + 1) * F12</f>
        <v>180</v>
      </c>
      <c r="O12" s="39" t="n">
        <f aca="false">MAX(0, MIN(26, 999) - MAX(24, C12) + 1) * F12</f>
        <v>180</v>
      </c>
      <c r="P12" s="40" t="n">
        <f aca="false">SUM(G12:O12)</f>
        <v>1440</v>
      </c>
    </row>
    <row r="14" customFormat="false" ht="15" hidden="false" customHeight="false" outlineLevel="0" collapsed="false">
      <c r="A14" s="36"/>
      <c r="B14" s="37" t="s">
        <v>174</v>
      </c>
      <c r="C14" s="36"/>
      <c r="D14" s="36"/>
      <c r="E14" s="36"/>
      <c r="F14" s="38" t="n">
        <f aca="false">SUM(F4:F12)</f>
        <v>1200</v>
      </c>
      <c r="G14" s="38" t="n">
        <f aca="false">SUM(G4:G12)</f>
        <v>1880</v>
      </c>
      <c r="H14" s="38" t="n">
        <f aca="false">SUM(H4:H12)</f>
        <v>3600</v>
      </c>
      <c r="I14" s="38" t="n">
        <f aca="false">SUM(I4:I12)</f>
        <v>3600</v>
      </c>
      <c r="J14" s="38" t="n">
        <f aca="false">SUM(J4:J12)</f>
        <v>3600</v>
      </c>
      <c r="K14" s="38" t="n">
        <f aca="false">SUM(K4:K12)</f>
        <v>3600</v>
      </c>
      <c r="L14" s="38" t="n">
        <f aca="false">SUM(L4:L12)</f>
        <v>3600</v>
      </c>
      <c r="M14" s="38" t="n">
        <f aca="false">SUM(M4:M12)</f>
        <v>3600</v>
      </c>
      <c r="N14" s="38" t="n">
        <f aca="false">SUM(N4:N12)</f>
        <v>3600</v>
      </c>
      <c r="O14" s="38" t="n">
        <f aca="false">SUM(O4:O12)</f>
        <v>3600</v>
      </c>
      <c r="P14" s="38" t="n">
        <f aca="false">SUM(P4:P12)</f>
        <v>30680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15" min="7" style="0" width="14"/>
    <col collapsed="false" customWidth="true" hidden="false" outlineLevel="0" max="16" min="16" style="0" width="18"/>
  </cols>
  <sheetData>
    <row r="1" customFormat="false" ht="27.75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6.85" hidden="false" customHeight="false" outlineLevel="0" collapsed="false">
      <c r="A3" s="9" t="s">
        <v>102</v>
      </c>
      <c r="B3" s="9" t="s">
        <v>164</v>
      </c>
      <c r="C3" s="9" t="s">
        <v>176</v>
      </c>
      <c r="D3" s="9" t="s">
        <v>107</v>
      </c>
      <c r="E3" s="9" t="s">
        <v>177</v>
      </c>
      <c r="F3" s="9" t="s">
        <v>178</v>
      </c>
      <c r="G3" s="9" t="s">
        <v>83</v>
      </c>
      <c r="H3" s="9" t="s">
        <v>85</v>
      </c>
      <c r="I3" s="9" t="s">
        <v>87</v>
      </c>
      <c r="J3" s="9" t="s">
        <v>89</v>
      </c>
      <c r="K3" s="9" t="s">
        <v>91</v>
      </c>
      <c r="L3" s="9" t="s">
        <v>93</v>
      </c>
      <c r="M3" s="9" t="s">
        <v>95</v>
      </c>
      <c r="N3" s="9" t="s">
        <v>97</v>
      </c>
      <c r="O3" s="9" t="s">
        <v>99</v>
      </c>
      <c r="P3" s="9" t="s">
        <v>157</v>
      </c>
    </row>
    <row r="4" customFormat="false" ht="15" hidden="false" customHeight="false" outlineLevel="0" collapsed="false">
      <c r="A4" s="20" t="n">
        <v>1</v>
      </c>
      <c r="B4" s="22" t="s">
        <v>179</v>
      </c>
      <c r="C4" s="19" t="n">
        <v>1</v>
      </c>
      <c r="D4" s="19" t="s">
        <v>63</v>
      </c>
      <c r="E4" s="35" t="n">
        <v>4800</v>
      </c>
      <c r="F4" s="27" t="n">
        <f aca="false">IFERROR(E4/INDEX(Assumptions!$C$10:$C$15,MATCH(D4,Assumptions!$A$10:$A$15,0)),0)</f>
        <v>4800</v>
      </c>
      <c r="G4" s="39" t="n">
        <f aca="false">IF(AND(C4&gt;=1, C4&lt;=2), F4, 0)</f>
        <v>4800</v>
      </c>
      <c r="H4" s="39" t="n">
        <f aca="false">IF(AND(C4&gt;=3, C4&lt;=5), F4, 0)</f>
        <v>0</v>
      </c>
      <c r="I4" s="39" t="n">
        <f aca="false">IF(AND(C4&gt;=6, C4&lt;=8), F4, 0)</f>
        <v>0</v>
      </c>
      <c r="J4" s="39" t="n">
        <f aca="false">IF(AND(C4&gt;=9, C4&lt;=11), F4, 0)</f>
        <v>0</v>
      </c>
      <c r="K4" s="39" t="n">
        <f aca="false">IF(AND(C4&gt;=12, C4&lt;=14), F4, 0)</f>
        <v>0</v>
      </c>
      <c r="L4" s="39" t="n">
        <f aca="false">IF(AND(C4&gt;=15, C4&lt;=17), F4, 0)</f>
        <v>0</v>
      </c>
      <c r="M4" s="39" t="n">
        <f aca="false">IF(AND(C4&gt;=18, C4&lt;=20), F4, 0)</f>
        <v>0</v>
      </c>
      <c r="N4" s="39" t="n">
        <f aca="false">IF(AND(C4&gt;=21, C4&lt;=23), F4, 0)</f>
        <v>0</v>
      </c>
      <c r="O4" s="39" t="n">
        <f aca="false">IF(AND(C4&gt;=24, C4&lt;=26), F4, 0)</f>
        <v>0</v>
      </c>
      <c r="P4" s="40" t="n">
        <f aca="false">SUM(G4:O4)</f>
        <v>4800</v>
      </c>
    </row>
    <row r="5" customFormat="false" ht="15" hidden="false" customHeight="false" outlineLevel="0" collapsed="false">
      <c r="A5" s="28" t="n">
        <v>2</v>
      </c>
      <c r="B5" s="29" t="s">
        <v>180</v>
      </c>
      <c r="C5" s="31" t="n">
        <v>3</v>
      </c>
      <c r="D5" s="31" t="s">
        <v>63</v>
      </c>
      <c r="E5" s="32" t="n">
        <v>3000</v>
      </c>
      <c r="F5" s="34" t="n">
        <f aca="false">IFERROR(E5/INDEX(Assumptions!$C$10:$C$15,MATCH(D5,Assumptions!$A$10:$A$15,0)),0)</f>
        <v>3000</v>
      </c>
      <c r="G5" s="41" t="n">
        <f aca="false">IF(AND(C5&gt;=1, C5&lt;=2), F5, 0)</f>
        <v>0</v>
      </c>
      <c r="H5" s="41" t="n">
        <f aca="false">IF(AND(C5&gt;=3, C5&lt;=5), F5, 0)</f>
        <v>3000</v>
      </c>
      <c r="I5" s="41" t="n">
        <f aca="false">IF(AND(C5&gt;=6, C5&lt;=8), F5, 0)</f>
        <v>0</v>
      </c>
      <c r="J5" s="41" t="n">
        <f aca="false">IF(AND(C5&gt;=9, C5&lt;=11), F5, 0)</f>
        <v>0</v>
      </c>
      <c r="K5" s="41" t="n">
        <f aca="false">IF(AND(C5&gt;=12, C5&lt;=14), F5, 0)</f>
        <v>0</v>
      </c>
      <c r="L5" s="41" t="n">
        <f aca="false">IF(AND(C5&gt;=15, C5&lt;=17), F5, 0)</f>
        <v>0</v>
      </c>
      <c r="M5" s="41" t="n">
        <f aca="false">IF(AND(C5&gt;=18, C5&lt;=20), F5, 0)</f>
        <v>0</v>
      </c>
      <c r="N5" s="41" t="n">
        <f aca="false">IF(AND(C5&gt;=21, C5&lt;=23), F5, 0)</f>
        <v>0</v>
      </c>
      <c r="O5" s="41" t="n">
        <f aca="false">IF(AND(C5&gt;=24, C5&lt;=26), F5, 0)</f>
        <v>0</v>
      </c>
      <c r="P5" s="42" t="n">
        <f aca="false">SUM(G5:O5)</f>
        <v>3000</v>
      </c>
    </row>
    <row r="6" customFormat="false" ht="15" hidden="false" customHeight="false" outlineLevel="0" collapsed="false">
      <c r="A6" s="20" t="n">
        <v>3</v>
      </c>
      <c r="B6" s="22" t="s">
        <v>181</v>
      </c>
      <c r="C6" s="19" t="n">
        <v>6</v>
      </c>
      <c r="D6" s="19" t="s">
        <v>63</v>
      </c>
      <c r="E6" s="35" t="n">
        <v>4800</v>
      </c>
      <c r="F6" s="27" t="n">
        <f aca="false">IFERROR(E6/INDEX(Assumptions!$C$10:$C$15,MATCH(D6,Assumptions!$A$10:$A$15,0)),0)</f>
        <v>4800</v>
      </c>
      <c r="G6" s="39" t="n">
        <f aca="false">IF(AND(C6&gt;=1, C6&lt;=2), F6, 0)</f>
        <v>0</v>
      </c>
      <c r="H6" s="39" t="n">
        <f aca="false">IF(AND(C6&gt;=3, C6&lt;=5), F6, 0)</f>
        <v>0</v>
      </c>
      <c r="I6" s="39" t="n">
        <f aca="false">IF(AND(C6&gt;=6, C6&lt;=8), F6, 0)</f>
        <v>4800</v>
      </c>
      <c r="J6" s="39" t="n">
        <f aca="false">IF(AND(C6&gt;=9, C6&lt;=11), F6, 0)</f>
        <v>0</v>
      </c>
      <c r="K6" s="39" t="n">
        <f aca="false">IF(AND(C6&gt;=12, C6&lt;=14), F6, 0)</f>
        <v>0</v>
      </c>
      <c r="L6" s="39" t="n">
        <f aca="false">IF(AND(C6&gt;=15, C6&lt;=17), F6, 0)</f>
        <v>0</v>
      </c>
      <c r="M6" s="39" t="n">
        <f aca="false">IF(AND(C6&gt;=18, C6&lt;=20), F6, 0)</f>
        <v>0</v>
      </c>
      <c r="N6" s="39" t="n">
        <f aca="false">IF(AND(C6&gt;=21, C6&lt;=23), F6, 0)</f>
        <v>0</v>
      </c>
      <c r="O6" s="39" t="n">
        <f aca="false">IF(AND(C6&gt;=24, C6&lt;=26), F6, 0)</f>
        <v>0</v>
      </c>
      <c r="P6" s="40" t="n">
        <f aca="false">SUM(G6:O6)</f>
        <v>4800</v>
      </c>
    </row>
    <row r="7" customFormat="false" ht="15" hidden="false" customHeight="false" outlineLevel="0" collapsed="false">
      <c r="A7" s="28" t="n">
        <v>4</v>
      </c>
      <c r="B7" s="29" t="s">
        <v>182</v>
      </c>
      <c r="C7" s="31" t="n">
        <v>1</v>
      </c>
      <c r="D7" s="31" t="s">
        <v>63</v>
      </c>
      <c r="E7" s="32" t="n">
        <v>1500</v>
      </c>
      <c r="F7" s="34" t="n">
        <f aca="false">IFERROR(E7/INDEX(Assumptions!$C$10:$C$15,MATCH(D7,Assumptions!$A$10:$A$15,0)),0)</f>
        <v>1500</v>
      </c>
      <c r="G7" s="41" t="n">
        <f aca="false">IF(AND(C7&gt;=1, C7&lt;=2), F7, 0)</f>
        <v>1500</v>
      </c>
      <c r="H7" s="41" t="n">
        <f aca="false">IF(AND(C7&gt;=3, C7&lt;=5), F7, 0)</f>
        <v>0</v>
      </c>
      <c r="I7" s="41" t="n">
        <f aca="false">IF(AND(C7&gt;=6, C7&lt;=8), F7, 0)</f>
        <v>0</v>
      </c>
      <c r="J7" s="41" t="n">
        <f aca="false">IF(AND(C7&gt;=9, C7&lt;=11), F7, 0)</f>
        <v>0</v>
      </c>
      <c r="K7" s="41" t="n">
        <f aca="false">IF(AND(C7&gt;=12, C7&lt;=14), F7, 0)</f>
        <v>0</v>
      </c>
      <c r="L7" s="41" t="n">
        <f aca="false">IF(AND(C7&gt;=15, C7&lt;=17), F7, 0)</f>
        <v>0</v>
      </c>
      <c r="M7" s="41" t="n">
        <f aca="false">IF(AND(C7&gt;=18, C7&lt;=20), F7, 0)</f>
        <v>0</v>
      </c>
      <c r="N7" s="41" t="n">
        <f aca="false">IF(AND(C7&gt;=21, C7&lt;=23), F7, 0)</f>
        <v>0</v>
      </c>
      <c r="O7" s="41" t="n">
        <f aca="false">IF(AND(C7&gt;=24, C7&lt;=26), F7, 0)</f>
        <v>0</v>
      </c>
      <c r="P7" s="42" t="n">
        <f aca="false">SUM(G7:O7)</f>
        <v>1500</v>
      </c>
    </row>
    <row r="8" customFormat="false" ht="15" hidden="false" customHeight="false" outlineLevel="0" collapsed="false">
      <c r="A8" s="20" t="n">
        <v>5</v>
      </c>
      <c r="B8" s="22" t="s">
        <v>183</v>
      </c>
      <c r="C8" s="19" t="n">
        <v>1</v>
      </c>
      <c r="D8" s="19" t="s">
        <v>63</v>
      </c>
      <c r="E8" s="35" t="n">
        <v>1000</v>
      </c>
      <c r="F8" s="27" t="n">
        <f aca="false">IFERROR(E8/INDEX(Assumptions!$C$10:$C$15,MATCH(D8,Assumptions!$A$10:$A$15,0)),0)</f>
        <v>1000</v>
      </c>
      <c r="G8" s="39" t="n">
        <f aca="false">IF(AND(C8&gt;=1, C8&lt;=2), F8, 0)</f>
        <v>1000</v>
      </c>
      <c r="H8" s="39" t="n">
        <f aca="false">IF(AND(C8&gt;=3, C8&lt;=5), F8, 0)</f>
        <v>0</v>
      </c>
      <c r="I8" s="39" t="n">
        <f aca="false">IF(AND(C8&gt;=6, C8&lt;=8), F8, 0)</f>
        <v>0</v>
      </c>
      <c r="J8" s="39" t="n">
        <f aca="false">IF(AND(C8&gt;=9, C8&lt;=11), F8, 0)</f>
        <v>0</v>
      </c>
      <c r="K8" s="39" t="n">
        <f aca="false">IF(AND(C8&gt;=12, C8&lt;=14), F8, 0)</f>
        <v>0</v>
      </c>
      <c r="L8" s="39" t="n">
        <f aca="false">IF(AND(C8&gt;=15, C8&lt;=17), F8, 0)</f>
        <v>0</v>
      </c>
      <c r="M8" s="39" t="n">
        <f aca="false">IF(AND(C8&gt;=18, C8&lt;=20), F8, 0)</f>
        <v>0</v>
      </c>
      <c r="N8" s="39" t="n">
        <f aca="false">IF(AND(C8&gt;=21, C8&lt;=23), F8, 0)</f>
        <v>0</v>
      </c>
      <c r="O8" s="39" t="n">
        <f aca="false">IF(AND(C8&gt;=24, C8&lt;=26), F8, 0)</f>
        <v>0</v>
      </c>
      <c r="P8" s="40" t="n">
        <f aca="false">SUM(G8:O8)</f>
        <v>1000</v>
      </c>
    </row>
    <row r="9" customFormat="false" ht="15" hidden="false" customHeight="false" outlineLevel="0" collapsed="false">
      <c r="A9" s="28" t="n">
        <v>6</v>
      </c>
      <c r="B9" s="29" t="s">
        <v>184</v>
      </c>
      <c r="C9" s="31" t="n">
        <v>12</v>
      </c>
      <c r="D9" s="31" t="s">
        <v>63</v>
      </c>
      <c r="E9" s="32" t="n">
        <v>1500</v>
      </c>
      <c r="F9" s="34" t="n">
        <f aca="false">IFERROR(E9/INDEX(Assumptions!$C$10:$C$15,MATCH(D9,Assumptions!$A$10:$A$15,0)),0)</f>
        <v>1500</v>
      </c>
      <c r="G9" s="41" t="n">
        <f aca="false">IF(AND(C9&gt;=1, C9&lt;=2), F9, 0)</f>
        <v>0</v>
      </c>
      <c r="H9" s="41" t="n">
        <f aca="false">IF(AND(C9&gt;=3, C9&lt;=5), F9, 0)</f>
        <v>0</v>
      </c>
      <c r="I9" s="41" t="n">
        <f aca="false">IF(AND(C9&gt;=6, C9&lt;=8), F9, 0)</f>
        <v>0</v>
      </c>
      <c r="J9" s="41" t="n">
        <f aca="false">IF(AND(C9&gt;=9, C9&lt;=11), F9, 0)</f>
        <v>0</v>
      </c>
      <c r="K9" s="41" t="n">
        <f aca="false">IF(AND(C9&gt;=12, C9&lt;=14), F9, 0)</f>
        <v>1500</v>
      </c>
      <c r="L9" s="41" t="n">
        <f aca="false">IF(AND(C9&gt;=15, C9&lt;=17), F9, 0)</f>
        <v>0</v>
      </c>
      <c r="M9" s="41" t="n">
        <f aca="false">IF(AND(C9&gt;=18, C9&lt;=20), F9, 0)</f>
        <v>0</v>
      </c>
      <c r="N9" s="41" t="n">
        <f aca="false">IF(AND(C9&gt;=21, C9&lt;=23), F9, 0)</f>
        <v>0</v>
      </c>
      <c r="O9" s="41" t="n">
        <f aca="false">IF(AND(C9&gt;=24, C9&lt;=26), F9, 0)</f>
        <v>0</v>
      </c>
      <c r="P9" s="42" t="n">
        <f aca="false">SUM(G9:O9)</f>
        <v>1500</v>
      </c>
    </row>
    <row r="11" customFormat="false" ht="15" hidden="false" customHeight="false" outlineLevel="0" collapsed="false">
      <c r="A11" s="36"/>
      <c r="B11" s="37" t="s">
        <v>185</v>
      </c>
      <c r="C11" s="36"/>
      <c r="D11" s="36"/>
      <c r="E11" s="36"/>
      <c r="F11" s="38" t="n">
        <f aca="false">SUM(F4:F9)</f>
        <v>16600</v>
      </c>
      <c r="G11" s="38" t="n">
        <f aca="false">SUM(G4:G9)</f>
        <v>7300</v>
      </c>
      <c r="H11" s="38" t="n">
        <f aca="false">SUM(H4:H9)</f>
        <v>3000</v>
      </c>
      <c r="I11" s="38" t="n">
        <f aca="false">SUM(I4:I9)</f>
        <v>4800</v>
      </c>
      <c r="J11" s="38" t="n">
        <f aca="false">SUM(J4:J9)</f>
        <v>0</v>
      </c>
      <c r="K11" s="38" t="n">
        <f aca="false">SUM(K4:K9)</f>
        <v>1500</v>
      </c>
      <c r="L11" s="38" t="n">
        <f aca="false">SUM(L4:L9)</f>
        <v>0</v>
      </c>
      <c r="M11" s="38" t="n">
        <f aca="false">SUM(M4:M9)</f>
        <v>0</v>
      </c>
      <c r="N11" s="38" t="n">
        <f aca="false">SUM(N4:N9)</f>
        <v>0</v>
      </c>
      <c r="O11" s="38" t="n">
        <f aca="false">SUM(O4:O9)</f>
        <v>0</v>
      </c>
      <c r="P11" s="38" t="n">
        <f aca="false">SUM(P4:P9)</f>
        <v>16600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11" min="3" style="0" width="14"/>
    <col collapsed="false" customWidth="true" hidden="false" outlineLevel="0" max="12" min="12" style="0" width="18"/>
  </cols>
  <sheetData>
    <row r="1" customFormat="false" ht="27.7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9" t="s">
        <v>102</v>
      </c>
      <c r="B3" s="9" t="s">
        <v>187</v>
      </c>
      <c r="C3" s="9" t="s">
        <v>83</v>
      </c>
      <c r="D3" s="9" t="s">
        <v>85</v>
      </c>
      <c r="E3" s="9" t="s">
        <v>87</v>
      </c>
      <c r="F3" s="9" t="s">
        <v>89</v>
      </c>
      <c r="G3" s="9" t="s">
        <v>91</v>
      </c>
      <c r="H3" s="9" t="s">
        <v>93</v>
      </c>
      <c r="I3" s="9" t="s">
        <v>95</v>
      </c>
      <c r="J3" s="9" t="s">
        <v>97</v>
      </c>
      <c r="K3" s="9" t="s">
        <v>99</v>
      </c>
      <c r="L3" s="9" t="s">
        <v>147</v>
      </c>
    </row>
    <row r="4" customFormat="false" ht="15" hidden="false" customHeight="false" outlineLevel="0" collapsed="false">
      <c r="A4" s="20" t="n">
        <v>1</v>
      </c>
      <c r="B4" s="48" t="s">
        <v>188</v>
      </c>
      <c r="C4" s="27" t="n">
        <f aca="false">'Salary Schedule'!E17</f>
        <v>5040</v>
      </c>
      <c r="D4" s="27" t="n">
        <f aca="false">'Salary Schedule'!F17</f>
        <v>20880</v>
      </c>
      <c r="E4" s="27" t="n">
        <f aca="false">'Salary Schedule'!G17</f>
        <v>26856</v>
      </c>
      <c r="F4" s="27" t="n">
        <f aca="false">'Salary Schedule'!H17</f>
        <v>26856</v>
      </c>
      <c r="G4" s="27" t="n">
        <f aca="false">'Salary Schedule'!I17</f>
        <v>26856</v>
      </c>
      <c r="H4" s="27" t="n">
        <f aca="false">'Salary Schedule'!J17</f>
        <v>26856</v>
      </c>
      <c r="I4" s="27" t="n">
        <f aca="false">'Salary Schedule'!K17</f>
        <v>26856</v>
      </c>
      <c r="J4" s="27" t="n">
        <f aca="false">'Salary Schedule'!L17</f>
        <v>26856</v>
      </c>
      <c r="K4" s="27" t="n">
        <f aca="false">'Salary Schedule'!M17</f>
        <v>26856</v>
      </c>
      <c r="L4" s="40" t="n">
        <f aca="false">SUM(C4:K4)</f>
        <v>213912</v>
      </c>
    </row>
    <row r="5" customFormat="false" ht="15" hidden="false" customHeight="false" outlineLevel="0" collapsed="false">
      <c r="A5" s="28" t="n">
        <v>2</v>
      </c>
      <c r="B5" s="49" t="s">
        <v>189</v>
      </c>
      <c r="C5" s="34" t="n">
        <f aca="false">Contractors!H9</f>
        <v>600</v>
      </c>
      <c r="D5" s="34" t="n">
        <f aca="false">Contractors!I9</f>
        <v>1900</v>
      </c>
      <c r="E5" s="34" t="n">
        <f aca="false">Contractors!J9</f>
        <v>300</v>
      </c>
      <c r="F5" s="34" t="n">
        <f aca="false">Contractors!K9</f>
        <v>2500</v>
      </c>
      <c r="G5" s="34" t="n">
        <f aca="false">Contractors!L9</f>
        <v>0</v>
      </c>
      <c r="H5" s="34" t="n">
        <f aca="false">Contractors!M9</f>
        <v>0</v>
      </c>
      <c r="I5" s="34" t="n">
        <f aca="false">Contractors!N9</f>
        <v>0</v>
      </c>
      <c r="J5" s="34" t="n">
        <f aca="false">Contractors!O9</f>
        <v>0</v>
      </c>
      <c r="K5" s="34" t="n">
        <f aca="false">Contractors!P9</f>
        <v>0</v>
      </c>
      <c r="L5" s="42" t="n">
        <f aca="false">SUM(C5:K5)</f>
        <v>5300</v>
      </c>
    </row>
    <row r="6" customFormat="false" ht="15" hidden="false" customHeight="false" outlineLevel="0" collapsed="false">
      <c r="A6" s="20" t="n">
        <v>3</v>
      </c>
      <c r="B6" s="48" t="s">
        <v>190</v>
      </c>
      <c r="C6" s="27" t="n">
        <f aca="false">'Software &amp; Infra'!G14</f>
        <v>1880</v>
      </c>
      <c r="D6" s="27" t="n">
        <f aca="false">'Software &amp; Infra'!H14</f>
        <v>3600</v>
      </c>
      <c r="E6" s="27" t="n">
        <f aca="false">'Software &amp; Infra'!I14</f>
        <v>3600</v>
      </c>
      <c r="F6" s="27" t="n">
        <f aca="false">'Software &amp; Infra'!J14</f>
        <v>3600</v>
      </c>
      <c r="G6" s="27" t="n">
        <f aca="false">'Software &amp; Infra'!K14</f>
        <v>3600</v>
      </c>
      <c r="H6" s="27" t="n">
        <f aca="false">'Software &amp; Infra'!L14</f>
        <v>3600</v>
      </c>
      <c r="I6" s="27" t="n">
        <f aca="false">'Software &amp; Infra'!M14</f>
        <v>3600</v>
      </c>
      <c r="J6" s="27" t="n">
        <f aca="false">'Software &amp; Infra'!N14</f>
        <v>3600</v>
      </c>
      <c r="K6" s="27" t="n">
        <f aca="false">'Software &amp; Infra'!O14</f>
        <v>3600</v>
      </c>
      <c r="L6" s="40" t="n">
        <f aca="false">SUM(C6:K6)</f>
        <v>30680</v>
      </c>
    </row>
    <row r="7" customFormat="false" ht="15" hidden="false" customHeight="false" outlineLevel="0" collapsed="false">
      <c r="A7" s="28" t="n">
        <v>4</v>
      </c>
      <c r="B7" s="49" t="s">
        <v>191</v>
      </c>
      <c r="C7" s="34" t="n">
        <f aca="false">'Hardware &amp; Setup'!G11</f>
        <v>7300</v>
      </c>
      <c r="D7" s="34" t="n">
        <f aca="false">'Hardware &amp; Setup'!H11</f>
        <v>3000</v>
      </c>
      <c r="E7" s="34" t="n">
        <f aca="false">'Hardware &amp; Setup'!I11</f>
        <v>4800</v>
      </c>
      <c r="F7" s="34" t="n">
        <f aca="false">'Hardware &amp; Setup'!J11</f>
        <v>0</v>
      </c>
      <c r="G7" s="34" t="n">
        <f aca="false">'Hardware &amp; Setup'!K11</f>
        <v>1500</v>
      </c>
      <c r="H7" s="34" t="n">
        <f aca="false">'Hardware &amp; Setup'!L11</f>
        <v>0</v>
      </c>
      <c r="I7" s="34" t="n">
        <f aca="false">'Hardware &amp; Setup'!M11</f>
        <v>0</v>
      </c>
      <c r="J7" s="34" t="n">
        <f aca="false">'Hardware &amp; Setup'!N11</f>
        <v>0</v>
      </c>
      <c r="K7" s="34" t="n">
        <f aca="false">'Hardware &amp; Setup'!O11</f>
        <v>0</v>
      </c>
      <c r="L7" s="42" t="n">
        <f aca="false">SUM(C7:K7)</f>
        <v>16600</v>
      </c>
    </row>
    <row r="9" customFormat="false" ht="15" hidden="false" customHeight="false" outlineLevel="0" collapsed="false">
      <c r="A9" s="50"/>
      <c r="B9" s="50" t="s">
        <v>192</v>
      </c>
      <c r="C9" s="51" t="n">
        <f aca="false">SUM(C4:C7)</f>
        <v>14820</v>
      </c>
      <c r="D9" s="51" t="n">
        <f aca="false">SUM(D4:D7)</f>
        <v>29380</v>
      </c>
      <c r="E9" s="51" t="n">
        <f aca="false">SUM(E4:E7)</f>
        <v>35556</v>
      </c>
      <c r="F9" s="51" t="n">
        <f aca="false">SUM(F4:F7)</f>
        <v>32956</v>
      </c>
      <c r="G9" s="51" t="n">
        <f aca="false">SUM(G4:G7)</f>
        <v>31956</v>
      </c>
      <c r="H9" s="51" t="n">
        <f aca="false">SUM(H4:H7)</f>
        <v>30456</v>
      </c>
      <c r="I9" s="51" t="n">
        <f aca="false">SUM(I4:I7)</f>
        <v>30456</v>
      </c>
      <c r="J9" s="51" t="n">
        <f aca="false">SUM(J4:J7)</f>
        <v>30456</v>
      </c>
      <c r="K9" s="51" t="n">
        <f aca="false">SUM(K4:K7)</f>
        <v>30456</v>
      </c>
      <c r="L9" s="51" t="n">
        <f aca="false">SUM(L4:L7)</f>
        <v>266492</v>
      </c>
    </row>
    <row r="11" customFormat="false" ht="15" hidden="false" customHeight="false" outlineLevel="0" collapsed="false">
      <c r="A11" s="36"/>
      <c r="B11" s="37" t="s">
        <v>193</v>
      </c>
      <c r="C11" s="52" t="n">
        <f aca="false">C9</f>
        <v>14820</v>
      </c>
      <c r="D11" s="52" t="n">
        <f aca="false">C11+D9</f>
        <v>44200</v>
      </c>
      <c r="E11" s="52" t="n">
        <f aca="false">D11+E9</f>
        <v>79756</v>
      </c>
      <c r="F11" s="52" t="n">
        <f aca="false">E11+F9</f>
        <v>112712</v>
      </c>
      <c r="G11" s="52" t="n">
        <f aca="false">F11+G9</f>
        <v>144668</v>
      </c>
      <c r="H11" s="52" t="n">
        <f aca="false">G11+H9</f>
        <v>175124</v>
      </c>
      <c r="I11" s="52" t="n">
        <f aca="false">H11+I9</f>
        <v>205580</v>
      </c>
      <c r="J11" s="52" t="n">
        <f aca="false">I11+J9</f>
        <v>236036</v>
      </c>
      <c r="K11" s="52" t="n">
        <f aca="false">J11+K9</f>
        <v>266492</v>
      </c>
    </row>
    <row r="14" customFormat="false" ht="21.75" hidden="false" customHeight="true" outlineLevel="0" collapsed="false">
      <c r="A14" s="4" t="s">
        <v>194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B15" s="9" t="s">
        <v>150</v>
      </c>
      <c r="C15" s="9" t="s">
        <v>195</v>
      </c>
      <c r="D15" s="9" t="s">
        <v>157</v>
      </c>
      <c r="E15" s="9" t="s">
        <v>196</v>
      </c>
    </row>
    <row r="16" customFormat="false" ht="15" hidden="false" customHeight="false" outlineLevel="0" collapsed="false">
      <c r="B16" s="13" t="s">
        <v>66</v>
      </c>
      <c r="C16" s="46" t="n">
        <f aca="false">D16*INDEX(Assumptions!$C$10:$C$15,MATCH(B16,Assumptions!$A$10:$A$15,0))</f>
        <v>10835600</v>
      </c>
      <c r="D16" s="53" t="n">
        <f aca="false">SUMPRODUCT(('Salary Schedule'!$C$4:$C$15="EGP")*'Salary Schedule'!$N$4:$N$15)+SUMPRODUCT((Contractors!$E$4:$E$7="EGP")*Contractors!$Q$4:$Q$7)+SUMPRODUCT(('Software &amp; Infra'!$D$4:$D$12="EGP")*'Software &amp; Infra'!$P$4:$P$12)+SUMPRODUCT(('Hardware &amp; Setup'!$D$4:$D$9="EGP")*'Hardware &amp; Setup'!$P$4:$P$9)</f>
        <v>216712</v>
      </c>
      <c r="E16" s="10" t="s">
        <v>197</v>
      </c>
    </row>
    <row r="17" customFormat="false" ht="15" hidden="false" customHeight="false" outlineLevel="0" collapsed="false">
      <c r="B17" s="13" t="s">
        <v>63</v>
      </c>
      <c r="C17" s="46" t="n">
        <f aca="false">D17*INDEX(Assumptions!$C$10:$C$15,MATCH(B17,Assumptions!$A$10:$A$15,0))</f>
        <v>49780</v>
      </c>
      <c r="D17" s="53" t="n">
        <f aca="false">SUMPRODUCT(('Salary Schedule'!$C$4:$C$15="USD")*'Salary Schedule'!$N$4:$N$15)+SUMPRODUCT((Contractors!$E$4:$E$7="USD")*Contractors!$Q$4:$Q$7)+SUMPRODUCT(('Software &amp; Infra'!$D$4:$D$12="USD")*'Software &amp; Infra'!$P$4:$P$12)+SUMPRODUCT(('Hardware &amp; Setup'!$D$4:$D$9="USD")*'Hardware &amp; Setup'!$P$4:$P$9)</f>
        <v>49780</v>
      </c>
      <c r="E17" s="10" t="s">
        <v>197</v>
      </c>
    </row>
    <row r="19" customFormat="false" ht="15" hidden="false" customHeight="false" outlineLevel="0" collapsed="false">
      <c r="B19" s="37" t="s">
        <v>198</v>
      </c>
      <c r="D19" s="38" t="n">
        <f aca="false">SUM(D16:D17)</f>
        <v>266492</v>
      </c>
    </row>
  </sheetData>
  <mergeCells count="2">
    <mergeCell ref="A1:L1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2026-04-19T11:36:06Z</dcterms:created>
  <dc:creator>openpyxl</dc:creator>
  <dc:description/>
  <dc:language>en-US</dc:language>
  <cp:lastModifiedBy/>
  <dcterms:modified xsi:type="dcterms:W3CDTF">2026-04-19T11:36:06Z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