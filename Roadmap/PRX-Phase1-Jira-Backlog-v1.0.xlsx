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prints" sheetId="2" state="visible" r:id="rId4"/>
    <sheet name="Team" sheetId="3" state="visible" r:id="rId5"/>
    <sheet name="Epics" sheetId="4" state="visible" r:id="rId6"/>
    <sheet name="Stories" sheetId="5" state="visible" r:id="rId7"/>
    <sheet name="Sub-tasks" sheetId="6" state="visible" r:id="rId8"/>
    <sheet name="Workload" sheetId="7" state="visible" r:id="rId9"/>
    <sheet name="Bug-Log" sheetId="8" state="visible" r:id="rId10"/>
    <sheet name="Capacity-Check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<sst xmlns="http://schemas.openxmlformats.org/spreadsheetml/2006/main" count="5910" uniqueCount="1378">
  <si>
    <t xml:space="preserve">Praxion HROS — Phase-1 Jira Backlog v1.0</t>
  </si>
  <si>
    <t xml:space="preserve">Project key: PRX · 22 × 2-week sprints · 2026-05-01 → 2027-03-18 · Team: 2 FE + 2 BE + 1 QA + TL + PO + Designer</t>
  </si>
  <si>
    <t xml:space="preserve">HOW TO IMPORT INTO JIRA CLOUD</t>
  </si>
  <si>
    <t xml:space="preserve">1. Create Jira project</t>
  </si>
  <si>
    <t xml:space="preserve">In Jira Cloud → Create project → Scrum template → Name: Praxion HROS → Key: PRX</t>
  </si>
  <si>
    <t xml:space="preserve">2. Configure components</t>
  </si>
  <si>
    <t xml:space="preserve">Settings → Components → add: M1-Core-HRIS, M10-Sys-Admin, Platform, Integrations, Design, DevOps</t>
  </si>
  <si>
    <t xml:space="preserve">3. Configure labels &amp; priorities</t>
  </si>
  <si>
    <t xml:space="preserve">Priorities already in Jira (P0-P4). Labels are free-text so they auto-create on import.</t>
  </si>
  <si>
    <t xml:space="preserve">4. Import Epics first</t>
  </si>
  <si>
    <t xml:space="preserve">System → External System Import → CSV. Upload Epics sheet (save as CSV). Map: Issue Type, Summary, Description, Priority, Components, Labels.</t>
  </si>
  <si>
    <t xml:space="preserve">5. Import Stories</t>
  </si>
  <si>
    <t xml:space="preserve">Same CSV import. Map: Issue Type, Summary, Description, Priority, Assignee, Epic Link, Sprint, Components, Labels, Story Points.</t>
  </si>
  <si>
    <t xml:space="preserve">6. Import Sub-tasks</t>
  </si>
  <si>
    <t xml:space="preserve">Same CSV import. Map: Issue Type, Summary, Parent, Assignee, Original Estimate.</t>
  </si>
  <si>
    <t xml:space="preserve">7. Create sprints in Jira</t>
  </si>
  <si>
    <t xml:space="preserve">Backlog view → Create Sprint → name + dates per Sprints sheet. Bulk-move stories into sprints by the Sprint field.</t>
  </si>
  <si>
    <t xml:space="preserve">8. Set up Board filters</t>
  </si>
  <si>
    <t xml:space="preserve">Board → Configure → quick-filters: FE (label=fe), BE (label=be), QA (label=qa), Design (label=design), Bugs (type=Bug).</t>
  </si>
  <si>
    <t xml:space="preserve">SHEETS IN THIS WORKBOOK</t>
  </si>
  <si>
    <t xml:space="preserve">Sprints</t>
  </si>
  <si>
    <t xml:space="preserve">22 sprints + Sprint 0 with dates, phase gate, goal, target SP budget.</t>
  </si>
  <si>
    <t xml:space="preserve">Team</t>
  </si>
  <si>
    <t xml:space="preserve">8-seat roster with role, discipline, capacity per sprint, Jira labels.</t>
  </si>
  <si>
    <t xml:space="preserve">Epics</t>
  </si>
  <si>
    <t xml:space="preserve">9 epics ready for Jira CSV import. Covers P0-P7 + Bug Tracker.</t>
  </si>
  <si>
    <t xml:space="preserve">Stories</t>
  </si>
  <si>
    <t xml:space="preserve">219 stories across all phase gates. Jira CSV format with Epic Link + Sprint + SP.</t>
  </si>
  <si>
    <t xml:space="preserve">Sub-tasks</t>
  </si>
  <si>
    <t xml:space="preserve">575 sub-tasks (representative patterns for stories ≥3 SP). Each has Parent link to its story.</t>
  </si>
  <si>
    <t xml:space="preserve">Workload</t>
  </si>
  <si>
    <t xml:space="preserve">SP per assignee per sprint. Formulas. Flags over-allocation.</t>
  </si>
  <si>
    <t xml:space="preserve">Bug-Log</t>
  </si>
  <si>
    <t xml:space="preserve">Empty Jira-CSV-ready bug template. Log defects as they arise, then bulk-import to Jira project PRX.</t>
  </si>
  <si>
    <t xml:space="preserve">Capacity-Check</t>
  </si>
  <si>
    <t xml:space="preserve">Sprint-by-sprint utilisation %. Target: ≤95%. Formulas.</t>
  </si>
  <si>
    <t xml:space="preserve">FIELD MAPPING CHEAT-SHEET</t>
  </si>
  <si>
    <t xml:space="preserve">Summary</t>
  </si>
  <si>
    <t xml:space="preserve">Jira ‘Summary’ field. Keep ≤ 240 chars for readability.</t>
  </si>
  <si>
    <t xml:space="preserve">Description</t>
  </si>
  <si>
    <t xml:space="preserve">Jira ‘Description’ (wiki markup). Long-form context.</t>
  </si>
  <si>
    <t xml:space="preserve">Priority</t>
  </si>
  <si>
    <t xml:space="preserve">P0 Blocker · P1 Critical · P2 Major · P3 Minor · P4 Trivial.</t>
  </si>
  <si>
    <t xml:space="preserve">Assignee (role)</t>
  </si>
  <si>
    <t xml:space="preserve">Role placeholder: DEV-FE-1, DEV-BE-1, QA-1, TL, PO, DES-1. Replace with real user IDs after hiring.</t>
  </si>
  <si>
    <t xml:space="preserve">Epic Link</t>
  </si>
  <si>
    <t xml:space="preserve">PRX-E0 … PRX-E8. Must match Epic key in the Epics sheet.</t>
  </si>
  <si>
    <t xml:space="preserve">Sprint</t>
  </si>
  <si>
    <t xml:space="preserve">Sprint name from Sprints sheet (e.g., ‘Sprint 6 — P3 Core Build · Employee records CRUD’).</t>
  </si>
  <si>
    <t xml:space="preserve">Components</t>
  </si>
  <si>
    <t xml:space="preserve">One of: M1-Core-HRIS, M10-Sys-Admin, Platform, Integrations, Design, DevOps.</t>
  </si>
  <si>
    <t xml:space="preserve">Labels</t>
  </si>
  <si>
    <t xml:space="preserve">Comma-sep: fe/be/qa/devops/design/po/tl + foundation/platform/bug/security/a11y/uat/training/migration/cutover/go-live.</t>
  </si>
  <si>
    <t xml:space="preserve">Story Points</t>
  </si>
  <si>
    <t xml:space="preserve">Fibonacci: 1, 2, 3, 5, 8. Stories ≥8 SP should be split before sprint start.</t>
  </si>
  <si>
    <t xml:space="preserve">Original Estimate (subtasks)</t>
  </si>
  <si>
    <t xml:space="preserve">Hours. Rough guide for daily stand-up planning.</t>
  </si>
  <si>
    <t xml:space="preserve">WHY THIS SHAPE</t>
  </si>
  <si>
    <t xml:space="preserve">Discipline split (FE/BE/QA/DES/PO/TL)</t>
  </si>
  <si>
    <t xml:space="preserve">Every feature surfaces at least one BE + one FE + one QA story so work is parallelisable across the 4 devs.</t>
  </si>
  <si>
    <t xml:space="preserve">Epic per phase gate</t>
  </si>
  <si>
    <t xml:space="preserve">P0-P7 + Bug Tracker. Lets you track burndown at gate level and maintain the rhythm set in the Executive Roadmap v2.0.</t>
  </si>
  <si>
    <t xml:space="preserve">Ramp-up sprints (S1-S3 lower SP)</t>
  </si>
  <si>
    <t xml:space="preserve">S0 20 SP, S1 35 SP, S2 45 SP, S3 50 SP. Team hits 56 SP steady state by S4.</t>
  </si>
  <si>
    <t xml:space="preserve">Buffer epic (PRX-E8 Bugs)</t>
  </si>
  <si>
    <t xml:space="preserve">80 SP reserved across the project for bug work discovered mid-sprint. Prevents scope creep eroding feature delivery.</t>
  </si>
  <si>
    <t xml:space="preserve">NEXT STEPS</t>
  </si>
  <si>
    <t xml:space="preserve">KNOWN CAPACITY RISK (flagged for TL refinement)</t>
  </si>
  <si>
    <t xml:space="preserve">Core-build sprints (S6-S10) run at 108-116% of dev capacity</t>
  </si>
  <si>
    <t xml:space="preserve">With 2 BE + 2 FE devs (56 SP/sprint), honest scope to deliver M1 + M10 by 14-Mar needs ~64 SP/sprint in Core Build. Options: (a) add a 5th dev (3rd BE), (b) extend by 2 sprints, or (c) accept 15-16 SP/dev during hot phase. Decision needed at Sprint 0 planning.</t>
  </si>
  <si>
    <t xml:space="preserve">A) Connect Atlassian Rovo MCP</t>
  </si>
  <si>
    <t xml:space="preserve">If you enable the Atlassian connector in Cowork, I can push this backlog directly into Jira instead of CSV-import.</t>
  </si>
  <si>
    <t xml:space="preserve">B) Hire the 5 roles (TL, FE×2, BE×2, QA, half-time Designer)</t>
  </si>
  <si>
    <t xml:space="preserve">Plan assumes these seats are filled by 2026-05-01 (Sprint 0 start).</t>
  </si>
  <si>
    <t xml:space="preserve">C) Lock the sprint calendar</t>
  </si>
  <si>
    <t xml:space="preserve">Confirm the sprint dates in Sprints sheet fit statutory holidays + your fiscal calendar. Adjust before import.</t>
  </si>
  <si>
    <t xml:space="preserve">D) Triage the backlog with TL</t>
  </si>
  <si>
    <t xml:space="preserve">Once TL is onboarded, 2-hour refinement to confirm SP sizing + story order before Sprint 1.</t>
  </si>
  <si>
    <t xml:space="preserve">Sprint calendar — Phase-1 (22 sprints, 2-week cadence)</t>
  </si>
  <si>
    <t xml:space="preserve">Sprint #</t>
  </si>
  <si>
    <t xml:space="preserve">Start date</t>
  </si>
  <si>
    <t xml:space="preserve">End date</t>
  </si>
  <si>
    <t xml:space="preserve">Phase gate</t>
  </si>
  <si>
    <t xml:space="preserve">Sprint goal</t>
  </si>
  <si>
    <t xml:space="preserve">Target SP</t>
  </si>
  <si>
    <t xml:space="preserve">Notes</t>
  </si>
  <si>
    <t xml:space="preserve">Sprint 0</t>
  </si>
  <si>
    <t xml:space="preserve">P0 close / Kick-off</t>
  </si>
  <si>
    <t xml:space="preserve">Team onboarded, environments ready, CI/CD green, design system scaffold</t>
  </si>
  <si>
    <t xml:space="preserve">Ramp sprint</t>
  </si>
  <si>
    <t xml:space="preserve">Sprint 1</t>
  </si>
  <si>
    <t xml:space="preserve">P1 Discover</t>
  </si>
  <si>
    <t xml:space="preserve">Discovery M1 — employee records &amp; org structure flow</t>
  </si>
  <si>
    <t xml:space="preserve">Sprint 2</t>
  </si>
  <si>
    <t xml:space="preserve">Discovery M1 — positions &amp; contracts + M10 discovery</t>
  </si>
  <si>
    <t xml:space="preserve">Sprint 3</t>
  </si>
  <si>
    <t xml:space="preserve">P1→P2 Design</t>
  </si>
  <si>
    <t xml:space="preserve">Design system complete + all M1 wireframes signed off</t>
  </si>
  <si>
    <t xml:space="preserve">Sprint 4</t>
  </si>
  <si>
    <t xml:space="preserve">P2 Foundations</t>
  </si>
  <si>
    <t xml:space="preserve">Tenancy model + SSO + RBAC scaffold</t>
  </si>
  <si>
    <t xml:space="preserve">Sprint 5</t>
  </si>
  <si>
    <t xml:space="preserve">Audit log + platform shell + nav</t>
  </si>
  <si>
    <t xml:space="preserve">Sprint 6</t>
  </si>
  <si>
    <t xml:space="preserve">P3 Core Build</t>
  </si>
  <si>
    <t xml:space="preserve">Employee records CRUD + search + data model in place</t>
  </si>
  <si>
    <t xml:space="preserve">Sprint 7</t>
  </si>
  <si>
    <t xml:space="preserve">Org structure + positions + assignment</t>
  </si>
  <si>
    <t xml:space="preserve">Sprint 8</t>
  </si>
  <si>
    <t xml:space="preserve">Contracts + documents vault + signed URLs</t>
  </si>
  <si>
    <t xml:space="preserve">Sprint 9</t>
  </si>
  <si>
    <t xml:space="preserve">Lifecycle events + approvals engine + notifications</t>
  </si>
  <si>
    <t xml:space="preserve">Sprint 10</t>
  </si>
  <si>
    <t xml:space="preserve">P3→P4</t>
  </si>
  <si>
    <t xml:space="preserve">M1 polish + bulk import/export + M10 scaffold</t>
  </si>
  <si>
    <t xml:space="preserve">Sprint 11</t>
  </si>
  <si>
    <t xml:space="preserve">P4 Adjacent</t>
  </si>
  <si>
    <t xml:space="preserve">M10 users, roles, permissions admin</t>
  </si>
  <si>
    <t xml:space="preserve">Sprint 12</t>
  </si>
  <si>
    <t xml:space="preserve">M10 tenant config + org chart admin + holiday calendar</t>
  </si>
  <si>
    <t xml:space="preserve">Sprint 13</t>
  </si>
  <si>
    <t xml:space="preserve">M10 audit dashboard + integrations + webhooks + API tokens</t>
  </si>
  <si>
    <t xml:space="preserve">Sprint 14</t>
  </si>
  <si>
    <t xml:space="preserve">P4→P5</t>
  </si>
  <si>
    <t xml:space="preserve">Feature-freeze — a11y + bundle + perf optimizations</t>
  </si>
  <si>
    <t xml:space="preserve">Sprint 15</t>
  </si>
  <si>
    <t xml:space="preserve">P5 Harden</t>
  </si>
  <si>
    <t xml:space="preserve">Load test + security scan fixes + DR drill</t>
  </si>
  <si>
    <t xml:space="preserve">Sprint 16</t>
  </si>
  <si>
    <t xml:space="preserve">Pen-test fixes + data migration dry-runs</t>
  </si>
  <si>
    <t xml:space="preserve">Sprint 17</t>
  </si>
  <si>
    <t xml:space="preserve">P5→P6</t>
  </si>
  <si>
    <t xml:space="preserve">Holiday-reduced · UAT prep — scenarios, test data, env</t>
  </si>
  <si>
    <t xml:space="preserve">Holiday-reduced</t>
  </si>
  <si>
    <t xml:space="preserve">Sprint 18</t>
  </si>
  <si>
    <t xml:space="preserve">P6 UAT</t>
  </si>
  <si>
    <t xml:space="preserve">UAT round 1 + defect burndown</t>
  </si>
  <si>
    <t xml:space="preserve">Sprint 19</t>
  </si>
  <si>
    <t xml:space="preserve">UAT round 2 + training content</t>
  </si>
  <si>
    <t xml:space="preserve">Sprint 20</t>
  </si>
  <si>
    <t xml:space="preserve">UAT round 3 + cutover rehearsal</t>
  </si>
  <si>
    <t xml:space="preserve">Sprint 21</t>
  </si>
  <si>
    <t xml:space="preserve">P7 Cutover</t>
  </si>
  <si>
    <t xml:space="preserve">Final fixes + go-live prep + rollback rehearsal</t>
  </si>
  <si>
    <t xml:space="preserve">Sprint 22</t>
  </si>
  <si>
    <t xml:space="preserve">P7 Go-Live</t>
  </si>
  <si>
    <t xml:space="preserve">GO-LIVE 14-Mar-2027 + Day-1 hypercare</t>
  </si>
  <si>
    <t xml:space="preserve">GO-LIVE sprint</t>
  </si>
  <si>
    <t xml:space="preserve">Delivery team — Phase-1 (8 seats)</t>
  </si>
  <si>
    <t xml:space="preserve">Jira User ID (placeholder)</t>
  </si>
  <si>
    <t xml:space="preserve">Name</t>
  </si>
  <si>
    <t xml:space="preserve">Role</t>
  </si>
  <si>
    <t xml:space="preserve">Jira label</t>
  </si>
  <si>
    <t xml:space="preserve">Capacity SP / sprint</t>
  </si>
  <si>
    <t xml:space="preserve">Email</t>
  </si>
  <si>
    <t xml:space="preserve">PRX-PO</t>
  </si>
  <si>
    <t xml:space="preserve">Sabry M. (placeholder)</t>
  </si>
  <si>
    <t xml:space="preserve">Project Director / PO</t>
  </si>
  <si>
    <t xml:space="preserve">po</t>
  </si>
  <si>
    <t xml:space="preserve">—</t>
  </si>
  <si>
    <t xml:space="preserve">mohamed.sabry@praxionhr.com</t>
  </si>
  <si>
    <t xml:space="preserve">PRX-TL</t>
  </si>
  <si>
    <t xml:space="preserve">TL — to hire</t>
  </si>
  <si>
    <t xml:space="preserve">Tech Lead</t>
  </si>
  <si>
    <t xml:space="preserve">tl</t>
  </si>
  <si>
    <t xml:space="preserve">8</t>
  </si>
  <si>
    <t xml:space="preserve">tl@praxionhr.com</t>
  </si>
  <si>
    <t xml:space="preserve">PRX-FE1</t>
  </si>
  <si>
    <t xml:space="preserve">DEV-FE-1 — to hire</t>
  </si>
  <si>
    <t xml:space="preserve">Frontend Engineer</t>
  </si>
  <si>
    <t xml:space="preserve">fe</t>
  </si>
  <si>
    <t xml:space="preserve">14</t>
  </si>
  <si>
    <t xml:space="preserve">fe1@praxionhr.com</t>
  </si>
  <si>
    <t xml:space="preserve">PRX-FE2</t>
  </si>
  <si>
    <t xml:space="preserve">DEV-FE-2 — to hire</t>
  </si>
  <si>
    <t xml:space="preserve">fe2@praxionhr.com</t>
  </si>
  <si>
    <t xml:space="preserve">PRX-BE1</t>
  </si>
  <si>
    <t xml:space="preserve">DEV-BE-1 — to hire</t>
  </si>
  <si>
    <t xml:space="preserve">Backend Engineer</t>
  </si>
  <si>
    <t xml:space="preserve">be</t>
  </si>
  <si>
    <t xml:space="preserve">be1@praxionhr.com</t>
  </si>
  <si>
    <t xml:space="preserve">PRX-BE2</t>
  </si>
  <si>
    <t xml:space="preserve">DEV-BE-2 — to hire</t>
  </si>
  <si>
    <t xml:space="preserve">be2@praxionhr.com</t>
  </si>
  <si>
    <t xml:space="preserve">PRX-QA1</t>
  </si>
  <si>
    <t xml:space="preserve">QA-1 — to hire</t>
  </si>
  <si>
    <t xml:space="preserve">QA Engineer</t>
  </si>
  <si>
    <t xml:space="preserve">qa</t>
  </si>
  <si>
    <t xml:space="preserve">qa1@praxionhr.com</t>
  </si>
  <si>
    <t xml:space="preserve">PRX-DES</t>
  </si>
  <si>
    <t xml:space="preserve">DES-1 — to hire (full-time S1-S3 · 50% from S4)</t>
  </si>
  <si>
    <t xml:space="preserve">Product Designer</t>
  </si>
  <si>
    <t xml:space="preserve">design</t>
  </si>
  <si>
    <t xml:space="preserve">14→7</t>
  </si>
  <si>
    <t xml:space="preserve">des1@praxionhr.com</t>
  </si>
  <si>
    <t xml:space="preserve">Team capacity / sprint →</t>
  </si>
  <si>
    <t xml:space="preserve">Epics — Jira CSV import format (9 epics)</t>
  </si>
  <si>
    <t xml:space="preserve">Issue Type</t>
  </si>
  <si>
    <t xml:space="preserve">Issue Key (for import reference)</t>
  </si>
  <si>
    <t xml:space="preserve">Epic</t>
  </si>
  <si>
    <t xml:space="preserve">PRX-E0</t>
  </si>
  <si>
    <t xml:space="preserve">P0 — Mobilisation close-out</t>
  </si>
  <si>
    <t xml:space="preserve">Close out mobilization: environments, CI/CD, team onboarding, design-system scaffold. Sprint range: S0-0.</t>
  </si>
  <si>
    <t xml:space="preserve">P1</t>
  </si>
  <si>
    <t xml:space="preserve">PO</t>
  </si>
  <si>
    <t xml:space="preserve">Platform</t>
  </si>
  <si>
    <t xml:space="preserve">foundation,platform</t>
  </si>
  <si>
    <t xml:space="preserve">PRX-E1</t>
  </si>
  <si>
    <t xml:space="preserve">P1 — Discover &amp; Design</t>
  </si>
  <si>
    <t xml:space="preserve">Functional discovery + visual design for M1 Core HRIS and M10 Sys Admin. Ends with Design Sign-Off. Sprint range: S1-3.</t>
  </si>
  <si>
    <t xml:space="preserve">TL</t>
  </si>
  <si>
    <t xml:space="preserve">M1-Core-HRIS</t>
  </si>
  <si>
    <t xml:space="preserve">foundation</t>
  </si>
  <si>
    <t xml:space="preserve">PRX-E2</t>
  </si>
  <si>
    <t xml:space="preserve">P2 — Platform Foundations</t>
  </si>
  <si>
    <t xml:space="preserve">Tenancy, SSO, RBAC, audit log, platform shell — the chassis before functional modules. Sprint range: S4-5.</t>
  </si>
  <si>
    <t xml:space="preserve">PRX-E3</t>
  </si>
  <si>
    <t xml:space="preserve">P3 — M1 Core HRIS Build</t>
  </si>
  <si>
    <t xml:space="preserve">Employee records, org structure, positions, contracts, documents, lifecycle events, approvals. Sprint range: S6-10.</t>
  </si>
  <si>
    <t xml:space="preserve">PRX-E4</t>
  </si>
  <si>
    <t xml:space="preserve">P4 — M10 System Admin Build</t>
  </si>
  <si>
    <t xml:space="preserve">M10 Sys Admin: users, roles, permissions, tenant config, audit dashboard, integrations. Sprint range: S11-14.</t>
  </si>
  <si>
    <t xml:space="preserve">P2</t>
  </si>
  <si>
    <t xml:space="preserve">M10-Sys-Admin</t>
  </si>
  <si>
    <t xml:space="preserve">PRX-E5</t>
  </si>
  <si>
    <t xml:space="preserve">P5 — Hardening &amp; Security</t>
  </si>
  <si>
    <t xml:space="preserve">Perf, load-test, security review, pen-test fixes, DR drill, data migration rehearsal. Sprint range: S15-17.</t>
  </si>
  <si>
    <t xml:space="preserve">platform,qa</t>
  </si>
  <si>
    <t xml:space="preserve">PRX-E6</t>
  </si>
  <si>
    <t xml:space="preserve">P6 — UAT &amp; Defect Burndown</t>
  </si>
  <si>
    <t xml:space="preserve">3 UAT rounds with stakeholders, defect triage, training content, cutover rehearsal. Sprint range: S18-20.</t>
  </si>
  <si>
    <t xml:space="preserve">QA-1</t>
  </si>
  <si>
    <t xml:space="preserve">PRX-E7</t>
  </si>
  <si>
    <t xml:space="preserve">P7 — Cutover &amp; Go-Live</t>
  </si>
  <si>
    <t xml:space="preserve">Production cutover 14-Mar-2027 + Day-1 hypercare support. Sprint range: S21-22.</t>
  </si>
  <si>
    <t xml:space="preserve">P0</t>
  </si>
  <si>
    <t xml:space="preserve">PRX-E8</t>
  </si>
  <si>
    <t xml:space="preserve">Bug Tracker (cross-cutting)</t>
  </si>
  <si>
    <t xml:space="preserve">Defects raised during any sprint. Workflow: Open→Triaged→In Progress→Ready QA→Verified→Closed. Sprint range: S0-22.</t>
  </si>
  <si>
    <t xml:space="preserve">bug</t>
  </si>
  <si>
    <t xml:space="preserve">Stories — Jira CSV import format (219 stories)</t>
  </si>
  <si>
    <t xml:space="preserve">Assignee</t>
  </si>
  <si>
    <t xml:space="preserve">Reporter</t>
  </si>
  <si>
    <t xml:space="preserve">Story</t>
  </si>
  <si>
    <t xml:space="preserve">DEVOPS: Provision dev/stage/prod environments</t>
  </si>
  <si>
    <t xml:space="preserve">Kubernetes clusters + managed Postgres + S3 buckets + Redis across 3 envs. Networking + secrets vault.</t>
  </si>
  <si>
    <t xml:space="preserve">DEV-BE-1</t>
  </si>
  <si>
    <t xml:space="preserve">Sprint 0 — P0 close / Kick-off · Team onboarded, environments ready, CI/C</t>
  </si>
  <si>
    <t xml:space="preserve">devops,platform</t>
  </si>
  <si>
    <t xml:space="preserve">DEVOPS: Set up CI/CD pipeline (BE + FE)</t>
  </si>
  <si>
    <t xml:space="preserve">GitHub Actions: lint → test → build → deploy. Branch protection rules. Preview envs on PR.</t>
  </si>
  <si>
    <t xml:space="preserve">DEV-BE-2</t>
  </si>
  <si>
    <t xml:space="preserve">FE: Bootstrap FE repo + design system package</t>
  </si>
  <si>
    <t xml:space="preserve">Vite + React + TS + Tailwind + routing. Shared @praxion/ui package scaffold. Storybook.</t>
  </si>
  <si>
    <t xml:space="preserve">DEV-FE-1</t>
  </si>
  <si>
    <t xml:space="preserve">fe,platform</t>
  </si>
  <si>
    <t xml:space="preserve">FE: Design system token package (colors/type/spacing)</t>
  </si>
  <si>
    <t xml:space="preserve">Brand v2.0 tokens wired into @praxion/tokens. TS types + CSS vars. Tailwind plugin.</t>
  </si>
  <si>
    <t xml:space="preserve">DEV-FE-2</t>
  </si>
  <si>
    <t xml:space="preserve">fe,platform,design</t>
  </si>
  <si>
    <t xml:space="preserve">QA: Test framework + first smoke tests</t>
  </si>
  <si>
    <t xml:space="preserve">Playwright for e2e, Vitest for unit, Pact for contract. Smoke test hits staging health endpoint.</t>
  </si>
  <si>
    <t xml:space="preserve">qa,platform</t>
  </si>
  <si>
    <t xml:space="preserve">DEVOPS: Observability — logging + metrics + tracing</t>
  </si>
  <si>
    <t xml:space="preserve">Stack: Loki + Prometheus + Grafana + OTEL. Dashboards for p50/p95 latency + error rate.</t>
  </si>
  <si>
    <t xml:space="preserve">PO: Stakeholder interviews — Records management</t>
  </si>
  <si>
    <t xml:space="preserve">Interview HR Ops + People team. Document: attributes, lifecycle states, data sources.</t>
  </si>
  <si>
    <t xml:space="preserve">Sprint 1 — P1 Discover · Discovery M1 — employee records &amp; org st</t>
  </si>
  <si>
    <t xml:space="preserve">po,foundation</t>
  </si>
  <si>
    <t xml:space="preserve">PO: Stakeholder interviews — Org structure</t>
  </si>
  <si>
    <t xml:space="preserve">Interview Finance + HR Ops. Document: cost-centre model, reporting lines, org depth.</t>
  </si>
  <si>
    <t xml:space="preserve">TL: Spike — Auth provider comparison (Auth0/Keycloak/Cognito)</t>
  </si>
  <si>
    <t xml:space="preserve">POC 3 providers against SSO req. Document trade-offs + cost. Recommend provider.</t>
  </si>
  <si>
    <t xml:space="preserve">tl,platform</t>
  </si>
  <si>
    <t xml:space="preserve">TL: Spike — Multi-tenancy pattern selection</t>
  </si>
  <si>
    <t xml:space="preserve">Evaluate: row-level-sec vs schema-per-tenant vs db-per-tenant. Benchmark + recommend.</t>
  </si>
  <si>
    <t xml:space="preserve">DES: UX research synthesis (existing materials)</t>
  </si>
  <si>
    <t xml:space="preserve">Synthesize discovery docs, Meeting-Docs-Apr22, master layout feedback. Personas + journeys.</t>
  </si>
  <si>
    <t xml:space="preserve">DES-1</t>
  </si>
  <si>
    <t xml:space="preserve">design,foundation</t>
  </si>
  <si>
    <t xml:space="preserve">BE: Data model design — Employees + audit fields</t>
  </si>
  <si>
    <t xml:space="preserve">ERD draft: employees, addresses, emergency contacts, identifiers. Include audit/soft-delete.</t>
  </si>
  <si>
    <t xml:space="preserve">be,foundation</t>
  </si>
  <si>
    <t xml:space="preserve">BE: Data model design — Org structure + positions</t>
  </si>
  <si>
    <t xml:space="preserve">ERD draft: org_units, positions, position_assignments, reporting_lines. Hierarchical queries.</t>
  </si>
  <si>
    <t xml:space="preserve">QA: Test strategy document (M1 Phase-1)</t>
  </si>
  <si>
    <t xml:space="preserve">Strategy: pyramid (unit/int/e2e), tools, coverage targets, automation-manual split.</t>
  </si>
  <si>
    <t xml:space="preserve">qa,foundation</t>
  </si>
  <si>
    <t xml:space="preserve">FE: UI architecture decision record (ADR)</t>
  </si>
  <si>
    <t xml:space="preserve">ADR: state mgmt (Zustand vs Redux), forms lib, validation lib, routing patterns.</t>
  </si>
  <si>
    <t xml:space="preserve">DES: Master layout — high-fidelity (from approved low-fi)</t>
  </si>
  <si>
    <t xml:space="preserve">Polish approved master layout: spacing, a11y contrast, responsive breakpoints, tokens applied.</t>
  </si>
  <si>
    <t xml:space="preserve">design,platform</t>
  </si>
  <si>
    <t xml:space="preserve">PO: Stakeholder interviews — Contracts &amp; documents</t>
  </si>
  <si>
    <t xml:space="preserve">Interview Legal + HR Ops. Contract types, lifecycle events, document retention policy.</t>
  </si>
  <si>
    <t xml:space="preserve">Sprint 2 — P1 Discover · Discovery M1 — positions &amp; contracts + M</t>
  </si>
  <si>
    <t xml:space="preserve">PO: Stakeholder interviews — Lifecycle events</t>
  </si>
  <si>
    <t xml:space="preserve">Interview HR Ops. Hire/promote/transfer/terminate workflows + approval chains.</t>
  </si>
  <si>
    <t xml:space="preserve">PO: Stakeholder interviews — M10 Sys Admin</t>
  </si>
  <si>
    <t xml:space="preserve">Interview IT Ops + Sys Admin. Tenant config, audit reqs, integrations needed.</t>
  </si>
  <si>
    <t xml:space="preserve">BE: Data model design — Contracts + documents</t>
  </si>
  <si>
    <t xml:space="preserve">ERD: contracts, contract_versions, documents, document_acl. Signed URL pattern.</t>
  </si>
  <si>
    <t xml:space="preserve">BE: Data model design — Lifecycle events + approvals</t>
  </si>
  <si>
    <t xml:space="preserve">ERD: lifecycle_events, approval_workflows, approval_steps, approval_history.</t>
  </si>
  <si>
    <t xml:space="preserve">TL: Integration contract — SSO (OIDC)</t>
  </si>
  <si>
    <t xml:space="preserve">OIDC flow spec: scopes, claims mapping, tenant routing. IdP dry-run.</t>
  </si>
  <si>
    <t xml:space="preserve">TL: Integration contract — Data imports (CSV/API)</t>
  </si>
  <si>
    <t xml:space="preserve">Spec for bulk import: CSV schema, API endpoints, validation rules, error reporting.</t>
  </si>
  <si>
    <t xml:space="preserve">DES: Component library — Forms (inputs, selects, datepickers)</t>
  </si>
  <si>
    <t xml:space="preserve">Hi-fi Figma components: text, number, select, multi-select, date, date-range. States.</t>
  </si>
  <si>
    <t xml:space="preserve">DES: Component library — Data display (tables, cards)</t>
  </si>
  <si>
    <t xml:space="preserve">Hi-fi Figma: tables (sortable/filterable), cards, tiles, stats. Empty + loading states.</t>
  </si>
  <si>
    <t xml:space="preserve">DES: M1 Employee records wireframes (list + detail + edit)</t>
  </si>
  <si>
    <t xml:space="preserve">Hi-fi screens: list, filters, detail (tabs), create/edit, quick-view.</t>
  </si>
  <si>
    <t xml:space="preserve">DES: M1 Org structure + Positions wireframes</t>
  </si>
  <si>
    <t xml:space="preserve">Hi-fi: org chart viz, position list, assignment UI, bulk reorganise.</t>
  </si>
  <si>
    <t xml:space="preserve">Sprint 3 — P1→P2 Design · Design system complete + all M1 wirefram</t>
  </si>
  <si>
    <t xml:space="preserve">DES: M1 Contracts + documents wireframes</t>
  </si>
  <si>
    <t xml:space="preserve">Hi-fi: contract list, detail, lifecycle actions, documents vault, upload widget.</t>
  </si>
  <si>
    <t xml:space="preserve">DES: M1 Lifecycle events + approvals wireframes</t>
  </si>
  <si>
    <t xml:space="preserve">Hi-fi: timeline, event wizard, approvals inbox, approval detail, notifications.</t>
  </si>
  <si>
    <t xml:space="preserve">DES: M10 Admin wireframes</t>
  </si>
  <si>
    <t xml:space="preserve">Hi-fi: users admin, roles/permissions matrix, tenant config, audit dashboard.</t>
  </si>
  <si>
    <t xml:space="preserve">Sprint 4 — P2 Foundations · Tenancy model + SSO + RBAC scaffold</t>
  </si>
  <si>
    <t xml:space="preserve">DES: Component library — Navigation + shell</t>
  </si>
  <si>
    <t xml:space="preserve">Hi-fi: app header, collapsible sidebar, breadcrumbs, user menu. Dark-mode vars.</t>
  </si>
  <si>
    <t xml:space="preserve">QA: Test environment setup (local + stage)</t>
  </si>
  <si>
    <t xml:space="preserve">Docker compose for local. Stage seeded with anonymized prod-shape data.</t>
  </si>
  <si>
    <t xml:space="preserve">QA: Automation framework scaffolding</t>
  </si>
  <si>
    <t xml:space="preserve">Playwright config, Pact broker, CI wiring, reporting to Allure.</t>
  </si>
  <si>
    <t xml:space="preserve">FE: Shared components — Button / Input / Select</t>
  </si>
  <si>
    <t xml:space="preserve">Implement from design tokens. Storybook stories. Unit tests.</t>
  </si>
  <si>
    <t xml:space="preserve">FE: Shared components — Table / Card / Badge</t>
  </si>
  <si>
    <t xml:space="preserve">BE: API convention doc + OpenAPI scaffolding</t>
  </si>
  <si>
    <t xml:space="preserve">Endpoint naming, pagination, filtering, errors, versioning. OpenAPI spec in repo.</t>
  </si>
  <si>
    <t xml:space="preserve">be,platform</t>
  </si>
  <si>
    <t xml:space="preserve">BE: Database migration tooling + seed-data pattern</t>
  </si>
  <si>
    <t xml:space="preserve">Choose migration tool, set up seeds for local/stage. Document rollback procedure.</t>
  </si>
  <si>
    <t xml:space="preserve">PO: Design sign-off review session</t>
  </si>
  <si>
    <t xml:space="preserve">Review all wireframes + components with HR Ops, Sabry, TL. Capture sign-off.</t>
  </si>
  <si>
    <t xml:space="preserve">BE: Tenancy data model + migrations</t>
  </si>
  <si>
    <t xml:space="preserve">tenants table, tenant_id FK on all relevant tables. Middleware to inject tenant context.</t>
  </si>
  <si>
    <t xml:space="preserve">be,platform,foundation</t>
  </si>
  <si>
    <t xml:space="preserve">BE: Tenant-isolation middleware + query guards</t>
  </si>
  <si>
    <t xml:space="preserve">Middleware rejects cross-tenant reads/writes. Query-builder guards + unit tests.</t>
  </si>
  <si>
    <t xml:space="preserve">BE: SSO integration — OIDC provider connection</t>
  </si>
  <si>
    <t xml:space="preserve">Connect to chosen IdP. Callback, state, PKCE. Claim→user mapping.</t>
  </si>
  <si>
    <t xml:space="preserve">BE: SSO session handling + refresh tokens</t>
  </si>
  <si>
    <t xml:space="preserve">JWT access + refresh pattern. Session storage. Logout flow + token revocation.</t>
  </si>
  <si>
    <t xml:space="preserve">BE: RBAC schema (roles, permissions, role_permissions)</t>
  </si>
  <si>
    <t xml:space="preserve">Data model + migrations. Seed default roles (SysAdmin, HRAdmin, Manager, Employee).</t>
  </si>
  <si>
    <t xml:space="preserve">BE: RBAC enforcement middleware + decorators</t>
  </si>
  <si>
    <t xml:space="preserve">Route-level + method-level permission checks. Returns 403 with permission name.</t>
  </si>
  <si>
    <t xml:space="preserve">FE: Login screen + SSO flow</t>
  </si>
  <si>
    <t xml:space="preserve">Login screen (email capture), redirect to IdP, handle callback, error states.</t>
  </si>
  <si>
    <t xml:space="preserve">fe,platform,foundation</t>
  </si>
  <si>
    <t xml:space="preserve">FE: Tenant-aware routing + URL scheme</t>
  </si>
  <si>
    <t xml:space="preserve">Tenant in subdomain or path prefix. Route guards. Redirect to tenant picker if multi-tenant user.</t>
  </si>
  <si>
    <t xml:space="preserve">FE: Session management + auto-refresh + idle logout</t>
  </si>
  <si>
    <t xml:space="preserve">Auto-refresh before expiry. Idle-timeout logout. Warning modal before logout.</t>
  </si>
  <si>
    <t xml:space="preserve">QA: Auth + tenancy + RBAC test suite</t>
  </si>
  <si>
    <t xml:space="preserve">E2E: login/logout/refresh. Cross-tenant access rejected. Permission gates verified.</t>
  </si>
  <si>
    <t xml:space="preserve">qa,platform,foundation</t>
  </si>
  <si>
    <t xml:space="preserve">BE: Audit log data model + write-path</t>
  </si>
  <si>
    <t xml:space="preserve">audit_events table. Middleware hooks on every mutating endpoint. Actor, action, target, diff.</t>
  </si>
  <si>
    <t xml:space="preserve">Sprint 5 — P2 Foundations · Audit log + platform shell + nav</t>
  </si>
  <si>
    <t xml:space="preserve">BE: Audit log query API (filters + pagination)</t>
  </si>
  <si>
    <t xml:space="preserve">GET /audit with filters: date-range, actor, action, target-type. Paginated.</t>
  </si>
  <si>
    <t xml:space="preserve">BE: Platform config endpoints (branding, locale)</t>
  </si>
  <si>
    <t xml:space="preserve">Per-tenant config: logo URL, primary color, locale, timezone. Cached.</t>
  </si>
  <si>
    <t xml:space="preserve">FE: App shell (header + content + footer)</t>
  </si>
  <si>
    <t xml:space="preserve">Responsive app shell with skip-to-content, notification slot, user menu slot.</t>
  </si>
  <si>
    <t xml:space="preserve">FE: Collapsible sidebar with module navigation</t>
  </si>
  <si>
    <t xml:space="preserve">Sidebar with module icons, active state, collapsible. Keyboard nav. Remember preference.</t>
  </si>
  <si>
    <t xml:space="preserve">FE: Brand tokens wired into runtime theme</t>
  </si>
  <si>
    <t xml:space="preserve">CSS vars from @praxion/tokens applied at root. Per-tenant color override supported.</t>
  </si>
  <si>
    <t xml:space="preserve">FE: User menu + profile dropdown + logout</t>
  </si>
  <si>
    <t xml:space="preserve">Dropdown: profile link, settings, switch tenant, sign out.</t>
  </si>
  <si>
    <t xml:space="preserve">FE: Error boundaries + empty states + loading shells</t>
  </si>
  <si>
    <t xml:space="preserve">Shared error boundary, 404/500 pages, skeleton loaders, empty-state component.</t>
  </si>
  <si>
    <t xml:space="preserve">QA: Audit log + shell e2e + accessibility pass</t>
  </si>
  <si>
    <t xml:space="preserve">E2E: audit events captured on CRUD. A11y: keyboard-only nav through shell. Screen-reader smoke.</t>
  </si>
  <si>
    <t xml:space="preserve">qa,platform,a11y</t>
  </si>
  <si>
    <t xml:space="preserve">DEVOPS: Staging environment hardening</t>
  </si>
  <si>
    <t xml:space="preserve">TLS, rate limits, WAF rules, backup job verified, log retention config.</t>
  </si>
  <si>
    <t xml:space="preserve">BE: employees table + migrations + seed</t>
  </si>
  <si>
    <t xml:space="preserve">Full schema per data-model ADR. Soft-delete. Timestamps. Seed 50 anonymized employees.</t>
  </si>
  <si>
    <t xml:space="preserve">Sprint 6 — P3 Core Build · Employee records CRUD + search + data mo</t>
  </si>
  <si>
    <t xml:space="preserve">BE: GET /employees (list + filter + paginate + sort)</t>
  </si>
  <si>
    <t xml:space="preserve">List with query params: q, status, org_unit, sort, page. p95 &lt; 200ms on seed.</t>
  </si>
  <si>
    <t xml:space="preserve">BE: GET /employees/:id (full detail)</t>
  </si>
  <si>
    <t xml:space="preserve">Full record with nested addresses, emergency contacts, current position.</t>
  </si>
  <si>
    <t xml:space="preserve">BE: POST /employees (create + validation)</t>
  </si>
  <si>
    <t xml:space="preserve">Create with full payload validation, uniqueness checks, audit event emitted.</t>
  </si>
  <si>
    <t xml:space="preserve">BE: PUT /employees/:id (update + partial)</t>
  </si>
  <si>
    <t xml:space="preserve">Full + PATCH semantics. Optimistic concurrency via updated_at. Audit diff emitted.</t>
  </si>
  <si>
    <t xml:space="preserve">BE: DELETE /employees/:id (soft-delete + restore)</t>
  </si>
  <si>
    <t xml:space="preserve">Soft-delete toggles deleted_at. Restore endpoint. Cascade considerations documented.</t>
  </si>
  <si>
    <t xml:space="preserve">BE: Employee search (full-text)</t>
  </si>
  <si>
    <t xml:space="preserve">Postgres tsvector on name+email+employee_id. Fallback to ILIKE for filters.</t>
  </si>
  <si>
    <t xml:space="preserve">FE: Employees list page (table + filters + search)</t>
  </si>
  <si>
    <t xml:space="preserve">Implements design. Server-side pagination, filter chips, keyword search, row click → detail.</t>
  </si>
  <si>
    <t xml:space="preserve">fe,foundation</t>
  </si>
  <si>
    <t xml:space="preserve">FE: Employee detail page (tabs: profile, employment, docs)</t>
  </si>
  <si>
    <t xml:space="preserve">Tabs layout. Profile tab shows core info. Empty tabs for employment/docs (populated later).</t>
  </si>
  <si>
    <t xml:space="preserve">FE: Employee create form (multi-step wizard)</t>
  </si>
  <si>
    <t xml:space="preserve">Steps: identity → contact → employment → review. Validation per step. Save-and-exit.</t>
  </si>
  <si>
    <t xml:space="preserve">FE: Employee edit form + inline-edit where appropriate</t>
  </si>
  <si>
    <t xml:space="preserve">Edit form mirrors create. Inline-edit for name + job title on detail page.</t>
  </si>
  <si>
    <t xml:space="preserve">FE: Employee profile header component</t>
  </si>
  <si>
    <t xml:space="preserve">Avatar + name + job title + status badge. Reused across pages.</t>
  </si>
  <si>
    <t xml:space="preserve">QA: Employee CRUD test cases + automation</t>
  </si>
  <si>
    <t xml:space="preserve">Test plan: ~40 cases. Automate ~25 (smoke + regression). Cross-tenant isolation verified.</t>
  </si>
  <si>
    <t xml:space="preserve">QA: Employee search + filter test cases</t>
  </si>
  <si>
    <t xml:space="preserve">Test plan: ~15 cases. Edge: unicode names, very long strings, empty results.</t>
  </si>
  <si>
    <t xml:space="preserve">BE: org_units table + migrations + tree queries</t>
  </si>
  <si>
    <t xml:space="preserve">Nested set or adjacency + path column. Queries: ancestors, descendants, siblings.</t>
  </si>
  <si>
    <t xml:space="preserve">Sprint 7 — P3 Core Build · Org structure + positions + assignment</t>
  </si>
  <si>
    <t xml:space="preserve">BE: Org units CRUD API</t>
  </si>
  <si>
    <t xml:space="preserve">Create + move + rename + deactivate. Prevent cycles. Audit emitted.</t>
  </si>
  <si>
    <t xml:space="preserve">BE: Org tree query endpoint (full + subtree)</t>
  </si>
  <si>
    <t xml:space="preserve">GET /org/tree, GET /org/tree/:unit_id. Returns JSON tree with counts.</t>
  </si>
  <si>
    <t xml:space="preserve">BE: positions table + CRUD API</t>
  </si>
  <si>
    <t xml:space="preserve">Create position, link to org_unit, track headcount approved vs filled.</t>
  </si>
  <si>
    <t xml:space="preserve">BE: Position assignment API</t>
  </si>
  <si>
    <t xml:space="preserve">Assign employee to position (with start/end dates). Historical assignments preserved.</t>
  </si>
  <si>
    <t xml:space="preserve">BE: Reporting-line query endpoint</t>
  </si>
  <si>
    <t xml:space="preserve">Given an employee, return up-chain and down-chain. Used by approvals later.</t>
  </si>
  <si>
    <t xml:space="preserve">FE: Org chart visualization (interactive)</t>
  </si>
  <si>
    <t xml:space="preserve">React-flow or d3. Pan/zoom, click-to-focus, expand/collapse branches.</t>
  </si>
  <si>
    <t xml:space="preserve">FE: Org unit create/edit form + move dialog</t>
  </si>
  <si>
    <t xml:space="preserve">Forms for create/rename. Drag-drop or move-dialog to relocate within tree.</t>
  </si>
  <si>
    <t xml:space="preserve">FE: Positions list + detail pages</t>
  </si>
  <si>
    <t xml:space="preserve">List filtered by org unit. Detail shows current holder + history.</t>
  </si>
  <si>
    <t xml:space="preserve">FE: Position assignment UI (assign / unassign)</t>
  </si>
  <si>
    <t xml:space="preserve">Modal with employee picker, date picker, confirm. Historical list below.</t>
  </si>
  <si>
    <t xml:space="preserve">FE: Org unit picker component (shared)</t>
  </si>
  <si>
    <t xml:space="preserve">Tree-select component for forms. Reused in employee create/edit + other modules later.</t>
  </si>
  <si>
    <t xml:space="preserve">QA: Org structure + positions test cases</t>
  </si>
  <si>
    <t xml:space="preserve">Cycle prevention, move-to-descendant blocked, historical assignments preserved.</t>
  </si>
  <si>
    <t xml:space="preserve">BE: contracts + contract_versions tables + migrations</t>
  </si>
  <si>
    <t xml:space="preserve">Versioned contracts. Types: permanent, fixed-term, probation, consultancy. Enums in lookup.</t>
  </si>
  <si>
    <t xml:space="preserve">Sprint 8 — P3 Core Build · Contracts + documents vault + signed URL</t>
  </si>
  <si>
    <t xml:space="preserve">BE: Contracts CRUD API</t>
  </si>
  <si>
    <t xml:space="preserve">Create new contract version. List per employee. Current-contract query.</t>
  </si>
  <si>
    <t xml:space="preserve">BE: Contract lifecycle state machine</t>
  </si>
  <si>
    <t xml:space="preserve">States: draft → active → renewed → terminated. Valid transitions enforced.</t>
  </si>
  <si>
    <t xml:space="preserve">BE: documents + document_acl tables + S3 bucket</t>
  </si>
  <si>
    <t xml:space="preserve">Per-tenant bucket or per-tenant prefix. ACL table for fine-grained access.</t>
  </si>
  <si>
    <t xml:space="preserve">BE: Document upload (signed-URL + virus-scan)</t>
  </si>
  <si>
    <t xml:space="preserve">Client gets signed URL, uploads direct to S3. Lambda/worker scans. Notify on clean.</t>
  </si>
  <si>
    <t xml:space="preserve">BE: Document download/metadata endpoint</t>
  </si>
  <si>
    <t xml:space="preserve">Signed URL on demand. Metadata (uploader, size, mime, tags) cached.</t>
  </si>
  <si>
    <t xml:space="preserve">FE: Contracts list + detail pages</t>
  </si>
  <si>
    <t xml:space="preserve">Filter by employee, type, status. Detail shows current version + history.</t>
  </si>
  <si>
    <t xml:space="preserve">FE: Contract create/edit form</t>
  </si>
  <si>
    <t xml:space="preserve">Form with dynamic fields per contract type. Attach document at creation.</t>
  </si>
  <si>
    <t xml:space="preserve">FE: Contract lifecycle actions (renew / terminate / sign)</t>
  </si>
  <si>
    <t xml:space="preserve">Action buttons with confirm modals. Terminate requires reason + date.</t>
  </si>
  <si>
    <t xml:space="preserve">FE: Documents vault page (per employee)</t>
  </si>
  <si>
    <t xml:space="preserve">List of documents with tags, filters, bulk download.</t>
  </si>
  <si>
    <t xml:space="preserve">FE: Document upload widget (drag-drop + progress)</t>
  </si>
  <si>
    <t xml:space="preserve">Reusable widget. Supports multiple files, shows per-file progress, retries failed.</t>
  </si>
  <si>
    <t xml:space="preserve">FE: Document viewer (PDF preview modal)</t>
  </si>
  <si>
    <t xml:space="preserve">PDF.js-based viewer in modal. Download + print actions. Fallback for other types.</t>
  </si>
  <si>
    <t xml:space="preserve">QA: Contracts + documents test cases</t>
  </si>
  <si>
    <t xml:space="preserve">Lifecycle state machine verified. Upload/download + ACL tested. Virus-scan mock.</t>
  </si>
  <si>
    <t xml:space="preserve">BE: lifecycle_events table + API (hire/promote/transfer/terminate)</t>
  </si>
  <si>
    <t xml:space="preserve">Event types: hire, promote, transfer, salary-change, terminate. Immutable after creation.</t>
  </si>
  <si>
    <t xml:space="preserve">Sprint 9 — P3 Core Build · Lifecycle events + approvals engine + no</t>
  </si>
  <si>
    <t xml:space="preserve">BE: Approvals data model (workflows, steps, history)</t>
  </si>
  <si>
    <t xml:space="preserve">approval_workflows, approval_workflow_steps (order + approver_role), approval_history.</t>
  </si>
  <si>
    <t xml:space="preserve">BE: Approval engine — state transitions</t>
  </si>
  <si>
    <t xml:space="preserve">States: pending → approved/rejected. Multi-step with parallel or sequential. Timeouts.</t>
  </si>
  <si>
    <t xml:space="preserve">BE: Notifications service + email templates</t>
  </si>
  <si>
    <t xml:space="preserve">Pluggable provider (SES/SMTP). Templates: approval-requested, approved, rejected, reminder.</t>
  </si>
  <si>
    <t xml:space="preserve">BE: Approval audit trail + SLA metrics</t>
  </si>
  <si>
    <t xml:space="preserve">Full trail per approval. Track time-to-approve. SLA thresholds in config.</t>
  </si>
  <si>
    <t xml:space="preserve">FE: Lifecycle event timeline component</t>
  </si>
  <si>
    <t xml:space="preserve">Vertical timeline on employee detail. Icons per event type. Click → event detail.</t>
  </si>
  <si>
    <t xml:space="preserve">FE: Lifecycle event create wizard (promote/transfer)</t>
  </si>
  <si>
    <t xml:space="preserve">Multi-step wizard. Pre-fills from current state. Triggers approval workflow.</t>
  </si>
  <si>
    <t xml:space="preserve">FE: Approvals inbox page (pending + completed)</t>
  </si>
  <si>
    <t xml:space="preserve">List pending approvals for current user. Filter by type + age.</t>
  </si>
  <si>
    <t xml:space="preserve">FE: Approval detail page + approve/reject action</t>
  </si>
  <si>
    <t xml:space="preserve">Shows payload diff. Approve/Reject with comment. Confirmation modal.</t>
  </si>
  <si>
    <t xml:space="preserve">FE: Notifications UI (bell icon + dropdown + mark-read)</t>
  </si>
  <si>
    <t xml:space="preserve">Header bell with unread count. Dropdown with recent. Link to full notifications page.</t>
  </si>
  <si>
    <t xml:space="preserve">QA: Lifecycle events test cases</t>
  </si>
  <si>
    <t xml:space="preserve">Hire/promote/transfer/terminate flows. Audit verification. Edge cases.</t>
  </si>
  <si>
    <t xml:space="preserve">QA: Approvals test cases + SLA scenarios</t>
  </si>
  <si>
    <t xml:space="preserve">Multi-step approvals. Rejection reroute. Timeout/reminder. SLA breach.</t>
  </si>
  <si>
    <t xml:space="preserve">BE: Query performance tuning + indexes review</t>
  </si>
  <si>
    <t xml:space="preserve">Slow-query log analysis. Add missing indexes. Materialized views where warranted.</t>
  </si>
  <si>
    <t xml:space="preserve">Sprint 10 — P3→P4 · M1 polish + bulk import/export + M10 sca</t>
  </si>
  <si>
    <t xml:space="preserve">be,platform,tech-debt</t>
  </si>
  <si>
    <t xml:space="preserve">BE: API rate limiting + throttling per tenant</t>
  </si>
  <si>
    <t xml:space="preserve">Token bucket per tenant + per user. Configurable limits. 429 with retry-after.</t>
  </si>
  <si>
    <t xml:space="preserve">BE: Bulk import API (employees CSV)</t>
  </si>
  <si>
    <t xml:space="preserve">Upload CSV, validate per-row, stream report. Dry-run mode. Transactional or row-by-row.</t>
  </si>
  <si>
    <t xml:space="preserve">BE: Export API (employees, contracts, org)</t>
  </si>
  <si>
    <t xml:space="preserve">CSV/XLSX export with field selection. Streamed for large sets.</t>
  </si>
  <si>
    <t xml:space="preserve">BE: M10 admin scaffolding (users, roles, permissions routes)</t>
  </si>
  <si>
    <t xml:space="preserve">Scaffold only — no full CRUD yet. Prep for Sprint 11.</t>
  </si>
  <si>
    <t xml:space="preserve">FE: Bulk import wizard UI (upload → map → validate → commit)</t>
  </si>
  <si>
    <t xml:space="preserve">Four-step wizard. Column mapping UI. Validation errors inline. Commit with progress.</t>
  </si>
  <si>
    <t xml:space="preserve">FE: Export UI (field selector + format picker)</t>
  </si>
  <si>
    <t xml:space="preserve">Modal with field checkboxes + format radio + trigger. Download when ready.</t>
  </si>
  <si>
    <t xml:space="preserve">FE: Employee profile enhancements (avatar upload + photo crop)</t>
  </si>
  <si>
    <t xml:space="preserve">Upload + crop + save. Fallback initials avatar. Consistent across the app.</t>
  </si>
  <si>
    <t xml:space="preserve">FE: Advanced search + saved filters</t>
  </si>
  <si>
    <t xml:space="preserve">Builder UI for complex filters. Save named views. Shareable URLs.</t>
  </si>
  <si>
    <t xml:space="preserve">FE: Home dashboard widgets (stats + recent events)</t>
  </si>
  <si>
    <t xml:space="preserve">Dashboard page with 4-6 widgets. Employee count, upcoming anniversaries, pending approvals.</t>
  </si>
  <si>
    <t xml:space="preserve">FE: M10 admin shell scaffolding (routes + empty pages)</t>
  </si>
  <si>
    <t xml:space="preserve">Wires M10 routes + nav entry. Empty pages ready for Sprint 11 fill.</t>
  </si>
  <si>
    <t xml:space="preserve">QA: M1 full regression test suite + automation run</t>
  </si>
  <si>
    <t xml:space="preserve">Automate regression. 2-hour CI run. Fail-fast gate to block merge.</t>
  </si>
  <si>
    <t xml:space="preserve">QA: Performance test baseline (k6 scenarios)</t>
  </si>
  <si>
    <t xml:space="preserve">Define SLOs: list &lt; 200ms p95, detail &lt; 100ms p95, create &lt; 300ms p95. Baseline run.</t>
  </si>
  <si>
    <t xml:space="preserve">DES: M1 visual QA pass + polish tickets</t>
  </si>
  <si>
    <t xml:space="preserve">Hi-fi vs implementation diff. Log polish tickets. Accessibility contrast verified.</t>
  </si>
  <si>
    <t xml:space="preserve">BE: Users admin CRUD API (invite/activate/deactivate)</t>
  </si>
  <si>
    <t xml:space="preserve">Admin can create users, invite by email, activate, deactivate, reset password.</t>
  </si>
  <si>
    <t xml:space="preserve">Sprint 11 — P4 Adjacent · M10 users, roles, permissions admin</t>
  </si>
  <si>
    <t xml:space="preserve">BE: Roles CRUD API + default roles seed</t>
  </si>
  <si>
    <t xml:space="preserve">Admin can create custom roles. Seed ships SysAdmin, HRAdmin, Manager, Employee.</t>
  </si>
  <si>
    <t xml:space="preserve">BE: Permissions matrix API (permissions × roles)</t>
  </si>
  <si>
    <t xml:space="preserve">GET/PUT matrix. Granular: module.resource.action. Cached heavily.</t>
  </si>
  <si>
    <t xml:space="preserve">BE: User-role assignment API (multi-role)</t>
  </si>
  <si>
    <t xml:space="preserve">Assign/revoke roles. Permission resolution = union of role permissions.</t>
  </si>
  <si>
    <t xml:space="preserve">FE: Users admin list + detail pages</t>
  </si>
  <si>
    <t xml:space="preserve">List with filters (status, role). Detail shows assigned roles + activity.</t>
  </si>
  <si>
    <t xml:space="preserve">FE: Role editor (permissions matrix UI)</t>
  </si>
  <si>
    <t xml:space="preserve">Matrix UI: rows = permissions, columns = roles. Tri-state checkboxes. Search + group.</t>
  </si>
  <si>
    <t xml:space="preserve">FE: User create/edit form + invite flow</t>
  </si>
  <si>
    <t xml:space="preserve">Form with email, name, role picker. Send invite. Resend invite action.</t>
  </si>
  <si>
    <t xml:space="preserve">QA: Users/Roles/Permissions test cases</t>
  </si>
  <si>
    <t xml:space="preserve">Permission resolution. Custom-role creation. Multi-role user. Deactivated-user access.</t>
  </si>
  <si>
    <t xml:space="preserve">QA: Permission enforcement across M1 endpoints</t>
  </si>
  <si>
    <t xml:space="preserve">Validate that every M1 endpoint honours the permission matrix. ~50 check cases.</t>
  </si>
  <si>
    <t xml:space="preserve">BE: Tenant config endpoints (branding, locale, policies)</t>
  </si>
  <si>
    <t xml:space="preserve">Per-tenant settings: logo URL, colors, locale, timezone, password policy, session timeout.</t>
  </si>
  <si>
    <t xml:space="preserve">Sprint 12 — P4 Adjacent · M10 tenant config + org chart admin + ho</t>
  </si>
  <si>
    <t xml:space="preserve">BE: Org chart bulk-edit API (reorder + bulk-move)</t>
  </si>
  <si>
    <t xml:space="preserve">Bulk operations with dry-run. Validation for cycles + permission.</t>
  </si>
  <si>
    <t xml:space="preserve">BE: Holiday calendar management API</t>
  </si>
  <si>
    <t xml:space="preserve">Per-tenant + per-country calendars. CRUD holidays. Recurrence rules.</t>
  </si>
  <si>
    <t xml:space="preserve">BE: Notification template management API</t>
  </si>
  <si>
    <t xml:space="preserve">Admin-editable templates per event type. Variables supported. Preview endpoint.</t>
  </si>
  <si>
    <t xml:space="preserve">FE: Tenant settings page (branding + locale + policies)</t>
  </si>
  <si>
    <t xml:space="preserve">Sectioned settings. Preview applied branding. Save triggers config reload.</t>
  </si>
  <si>
    <t xml:space="preserve">FE: Org chart admin UI (bulk edit + dry-run preview)</t>
  </si>
  <si>
    <t xml:space="preserve">Admin-only view of org chart with drag-to-reorder + bulk-select. Preview before commit.</t>
  </si>
  <si>
    <t xml:space="preserve">FE: Holiday calendar admin UI</t>
  </si>
  <si>
    <t xml:space="preserve">Calendar view with add/edit/delete. Recurrence rule builder.</t>
  </si>
  <si>
    <t xml:space="preserve">FE: Notification template editor (with variable picker)</t>
  </si>
  <si>
    <t xml:space="preserve">Rich-text editor with variable tokens. Preview pane.</t>
  </si>
  <si>
    <t xml:space="preserve">QA: Tenant config + org admin test cases</t>
  </si>
  <si>
    <t xml:space="preserve">Branding roundtrip. Org bulk operations. Holiday calendar. Template preview.</t>
  </si>
  <si>
    <t xml:space="preserve">BE: Audit log search + filter + full-text API</t>
  </si>
  <si>
    <t xml:space="preserve">Advanced search: actor/action/target/date/keyword. Paginated. Export-safe.</t>
  </si>
  <si>
    <t xml:space="preserve">Sprint 13 — P4 Adjacent · M10 audit dashboard + integrations + web</t>
  </si>
  <si>
    <t xml:space="preserve">BE: Audit log export API (CSV streaming)</t>
  </si>
  <si>
    <t xml:space="preserve">Stream CSV for large ranges. Progress endpoint. Complete-notification email.</t>
  </si>
  <si>
    <t xml:space="preserve">BE: Integration registry API (configured integrations)</t>
  </si>
  <si>
    <t xml:space="preserve">List/enable/disable integrations. Per-integration config JSON stored encrypted.</t>
  </si>
  <si>
    <t xml:space="preserve">BE: Webhook configuration API + dispatcher</t>
  </si>
  <si>
    <t xml:space="preserve">Create webhooks for events. Signed payloads. Retry with backoff. Dead-letter queue.</t>
  </si>
  <si>
    <t xml:space="preserve">BE: API token management (create/revoke/rotate)</t>
  </si>
  <si>
    <t xml:space="preserve">Scoped tokens. Rotation + revoke. Tokens audit-logged.</t>
  </si>
  <si>
    <t xml:space="preserve">FE: Audit log dashboard (filters + timeline + drill-down)</t>
  </si>
  <si>
    <t xml:space="preserve">Filter panel + timeline + detail pane. Export action. Saved views.</t>
  </si>
  <si>
    <t xml:space="preserve">FE: Integrations config page</t>
  </si>
  <si>
    <t xml:space="preserve">List of available integrations, per-integration connect flow, status chip.</t>
  </si>
  <si>
    <t xml:space="preserve">FE: Webhook configuration UI</t>
  </si>
  <si>
    <t xml:space="preserve">Create webhook: event types, URL, signing key. Test-fire action. Delivery log.</t>
  </si>
  <si>
    <t xml:space="preserve">FE: API token management UI</t>
  </si>
  <si>
    <t xml:space="preserve">List tokens with scope + last-used. Create modal shows token once. Revoke action.</t>
  </si>
  <si>
    <t xml:space="preserve">QA: Audit + integrations + webhooks test cases</t>
  </si>
  <si>
    <t xml:space="preserve">Audit export integrity. Webhook delivery + retry. Token scope enforcement.</t>
  </si>
  <si>
    <t xml:space="preserve">BE: Security review fixes — round 1 (OWASP top 10)</t>
  </si>
  <si>
    <t xml:space="preserve">Address findings from internal review. SQL-i, XSS, auth, crypto.</t>
  </si>
  <si>
    <t xml:space="preserve">Sprint 14 — P4→P5 · Feature-freeze — a11y + bundle + perf op</t>
  </si>
  <si>
    <t xml:space="preserve">be,platform,security</t>
  </si>
  <si>
    <t xml:space="preserve">BE: Performance tuning — hot endpoints + caching</t>
  </si>
  <si>
    <t xml:space="preserve">Cache layer for reads. Index tuning. p95 SLOs verified post-fix.</t>
  </si>
  <si>
    <t xml:space="preserve">FE: Bundle size optimization + tree-shaking audit</t>
  </si>
  <si>
    <t xml:space="preserve">Analyse bundle. Remove unused deps. Dynamic import heavy routes.</t>
  </si>
  <si>
    <t xml:space="preserve">fe,platform,tech-debt</t>
  </si>
  <si>
    <t xml:space="preserve">FE: Lazy-loading + route-level code-splitting</t>
  </si>
  <si>
    <t xml:space="preserve">Split M1 and M10 into separate bundles. Prefetch on idle.</t>
  </si>
  <si>
    <t xml:space="preserve">FE: Accessibility (a11y) pass — M1</t>
  </si>
  <si>
    <t xml:space="preserve">WCAG 2.1 AA: keyboard nav, screen reader, contrast. Log tickets.</t>
  </si>
  <si>
    <t xml:space="preserve">fe,foundation,a11y</t>
  </si>
  <si>
    <t xml:space="preserve">FE: Accessibility (a11y) pass — M10</t>
  </si>
  <si>
    <t xml:space="preserve">Same scope for M10.</t>
  </si>
  <si>
    <t xml:space="preserve">QA: Full regression run round 1 + defect report</t>
  </si>
  <si>
    <t xml:space="preserve">Full automated + manual regression. Burn-down plan for any reds.</t>
  </si>
  <si>
    <t xml:space="preserve">DEVOPS: Staging perf baseline + SLO report</t>
  </si>
  <si>
    <t xml:space="preserve">Run perf suite in staging. Compare to SLOs. Gate decision for P5.</t>
  </si>
  <si>
    <t xml:space="preserve">BE: Load testing scenarios + k6 scripts</t>
  </si>
  <si>
    <t xml:space="preserve">Design: steady load, spike, soak, stress. Scripts per scenario. Baseline captured.</t>
  </si>
  <si>
    <t xml:space="preserve">Sprint 15 — P5 Harden · Load test + security scan fixes + DR dri</t>
  </si>
  <si>
    <t xml:space="preserve">be,platform,qa</t>
  </si>
  <si>
    <t xml:space="preserve">BE: Load-test fixes + scaling policy tuning</t>
  </si>
  <si>
    <t xml:space="preserve">Address bottlenecks from load run. HPA tuning. Connection-pool sizing.</t>
  </si>
  <si>
    <t xml:space="preserve">BE: Security scan fixes (OWASP + CVE backlog)</t>
  </si>
  <si>
    <t xml:space="preserve">All critical + high findings resolved. Report archived.</t>
  </si>
  <si>
    <t xml:space="preserve">BE: Secrets rotation + vault setup</t>
  </si>
  <si>
    <t xml:space="preserve">All secrets in vault. Rotation policy documented. No hardcoded secrets.</t>
  </si>
  <si>
    <t xml:space="preserve">BE: DR backup + restore testing</t>
  </si>
  <si>
    <t xml:space="preserve">Full restore drill from backup into clean env. Documented RTO/RPO.</t>
  </si>
  <si>
    <t xml:space="preserve">be,platform,devops</t>
  </si>
  <si>
    <t xml:space="preserve">FE: XSS/CSRF hardening audit</t>
  </si>
  <si>
    <t xml:space="preserve">Audit render paths. Content-Security-Policy + SameSite cookies + CSRF tokens.</t>
  </si>
  <si>
    <t xml:space="preserve">fe,platform,security</t>
  </si>
  <si>
    <t xml:space="preserve">FE: CSP headers + SRI for external scripts</t>
  </si>
  <si>
    <t xml:space="preserve">CSP tuned to production needs. SRI for any CDN-loaded scripts.</t>
  </si>
  <si>
    <t xml:space="preserve">DEVOPS: DR runbook + full DR drill</t>
  </si>
  <si>
    <t xml:space="preserve">Runbook published. Full drill executed. Lessons captured.</t>
  </si>
  <si>
    <t xml:space="preserve">QA: Load-test results + signoff report</t>
  </si>
  <si>
    <t xml:space="preserve">Report to TL+PO with SLO compliance. Sign-off gate.</t>
  </si>
  <si>
    <t xml:space="preserve">BE: Pen-test fixes — critical severity</t>
  </si>
  <si>
    <t xml:space="preserve">Address all critical findings from pen-test report. Re-test gate.</t>
  </si>
  <si>
    <t xml:space="preserve">Sprint 16 — P5 Harden · Pen-test fixes + data migration dry-runs</t>
  </si>
  <si>
    <t xml:space="preserve">BE: Pen-test fixes — major severity</t>
  </si>
  <si>
    <t xml:space="preserve">Address all major findings. Re-test.</t>
  </si>
  <si>
    <t xml:space="preserve">BE: Pen-test fixes — minor + hardening</t>
  </si>
  <si>
    <t xml:space="preserve">Address minor findings + defence-in-depth extras.</t>
  </si>
  <si>
    <t xml:space="preserve">BE: Data migration script — employees</t>
  </si>
  <si>
    <t xml:space="preserve">Script ingest from legacy/source system. Dry-run mode. Validation report.</t>
  </si>
  <si>
    <t xml:space="preserve">be,foundation,migration</t>
  </si>
  <si>
    <t xml:space="preserve">BE: Data migration script — org structure + positions</t>
  </si>
  <si>
    <t xml:space="preserve">Same as above for org/positions. Reference mapping preserved.</t>
  </si>
  <si>
    <t xml:space="preserve">BE: Data migration script — contracts + documents</t>
  </si>
  <si>
    <t xml:space="preserve">Same as above. Document upload batching. ACL preserved.</t>
  </si>
  <si>
    <t xml:space="preserve">BE: Data migration dry-run 1 (staging)</t>
  </si>
  <si>
    <t xml:space="preserve">Full dry-run in staging with anonymized prod extract. Defect list.</t>
  </si>
  <si>
    <t xml:space="preserve">be,platform,migration</t>
  </si>
  <si>
    <t xml:space="preserve">BE: Data migration dry-run 2 (staging, post-fix)</t>
  </si>
  <si>
    <t xml:space="preserve">Second dry-run after dry-run-1 fixes. Target: zero-defect.</t>
  </si>
  <si>
    <t xml:space="preserve">QA: Pen-test fix verification</t>
  </si>
  <si>
    <t xml:space="preserve">Verify every pen-test finding is closed. Re-test in dry-run env.</t>
  </si>
  <si>
    <t xml:space="preserve">qa,platform,security</t>
  </si>
  <si>
    <t xml:space="preserve">QA: Migration dry-run verification + checksums</t>
  </si>
  <si>
    <t xml:space="preserve">Row counts, checksums, referential integrity. Report to PO.</t>
  </si>
  <si>
    <t xml:space="preserve">qa,platform,migration</t>
  </si>
  <si>
    <t xml:space="preserve">PO: UAT scenarios drafted (happy + edge paths)</t>
  </si>
  <si>
    <t xml:space="preserve">~30 scenarios covering key workflows. Signed off with HR Ops.</t>
  </si>
  <si>
    <t xml:space="preserve">Sprint 17 — P5→P6 · Holiday-reduced · UAT prep — scenarios, </t>
  </si>
  <si>
    <t xml:space="preserve">po,qa</t>
  </si>
  <si>
    <t xml:space="preserve">PO: UAT test data prepared (anonymized + seeded)</t>
  </si>
  <si>
    <t xml:space="preserve">Seeded accounts + test users + happy data. Credentials pack for UAT users.</t>
  </si>
  <si>
    <t xml:space="preserve">PO: UAT stakeholder onboarding session</t>
  </si>
  <si>
    <t xml:space="preserve">1-hour session walking UAT users through scope + tools + defect reporting.</t>
  </si>
  <si>
    <t xml:space="preserve">QA: UAT test plan (scoring rubric + defect flow)</t>
  </si>
  <si>
    <t xml:space="preserve">Plan: scope, entry/exit criteria, defect flow, reporting cadence.</t>
  </si>
  <si>
    <t xml:space="preserve">QA: UAT environment smoke test + seeding</t>
  </si>
  <si>
    <t xml:space="preserve">UAT env ready. All scenarios run smoke once. Fixtures loaded.</t>
  </si>
  <si>
    <t xml:space="preserve">BE: Hotfix pipeline + feature-flag framework</t>
  </si>
  <si>
    <t xml:space="preserve">Separate hotfix branch + pipeline. Feature flags for risky toggles.</t>
  </si>
  <si>
    <t xml:space="preserve">FE: In-app help + user guide content (embedded)</t>
  </si>
  <si>
    <t xml:space="preserve">Contextual help tooltips + link to guide page. Content drafted with PO.</t>
  </si>
  <si>
    <t xml:space="preserve">DEVOPS: Production environment hardening</t>
  </si>
  <si>
    <t xml:space="preserve">TLS + WAF + DDoS + WAF rules. Backup + monitoring + on-call paging. RTO/RPO verified.</t>
  </si>
  <si>
    <t xml:space="preserve">devops,platform,security</t>
  </si>
  <si>
    <t xml:space="preserve">QA: UAT round 1 — execution + defect intake</t>
  </si>
  <si>
    <t xml:space="preserve">Run all scenarios with UAT users. Log defects daily. Triage twice-daily.</t>
  </si>
  <si>
    <t xml:space="preserve">Sprint 18 — P6 UAT · UAT round 1 + defect burndown</t>
  </si>
  <si>
    <t xml:space="preserve">qa,platform,uat</t>
  </si>
  <si>
    <t xml:space="preserve">QA: UAT round 1 — defect triage + assignment</t>
  </si>
  <si>
    <t xml:space="preserve">Triage with TL+PO. Severity + priority. Assign to sprint.</t>
  </si>
  <si>
    <t xml:space="preserve">BE: UAT round 1 — fixes backlog burndown</t>
  </si>
  <si>
    <t xml:space="preserve">Absorb top-priority defects into sprint. Fix + deploy hotfix pipeline.</t>
  </si>
  <si>
    <t xml:space="preserve">be,platform,uat</t>
  </si>
  <si>
    <t xml:space="preserve">FE: UAT round 1 — fixes backlog burndown</t>
  </si>
  <si>
    <t xml:space="preserve">Same for FE defects.</t>
  </si>
  <si>
    <t xml:space="preserve">fe,platform,uat</t>
  </si>
  <si>
    <t xml:space="preserve">PO: Stakeholder feedback synthesis + go/no-go R1</t>
  </si>
  <si>
    <t xml:space="preserve">Synthesize qualitative feedback. Decision: proceed to R2 or pause.</t>
  </si>
  <si>
    <t xml:space="preserve">po,uat</t>
  </si>
  <si>
    <t xml:space="preserve">DES: UX tweaks from UAT — high-impact only</t>
  </si>
  <si>
    <t xml:space="preserve">Urgent UX tweaks identified from R1. Capped at low-effort changes.</t>
  </si>
  <si>
    <t xml:space="preserve">design,uat</t>
  </si>
  <si>
    <t xml:space="preserve">QA: UAT round 2 — execution + regression</t>
  </si>
  <si>
    <t xml:space="preserve">Re-run scenarios post-R1 fixes. Add new scenarios identified in R1.</t>
  </si>
  <si>
    <t xml:space="preserve">Sprint 19 — P6 UAT · UAT round 2 + training content</t>
  </si>
  <si>
    <t xml:space="preserve">BE: UAT round 2 — fixes</t>
  </si>
  <si>
    <t xml:space="preserve">Absorb R2 defect backlog.</t>
  </si>
  <si>
    <t xml:space="preserve">FE: UAT round 2 — fixes</t>
  </si>
  <si>
    <t xml:space="preserve">Same for FE.</t>
  </si>
  <si>
    <t xml:space="preserve">PO: Training content — admin users (M10)</t>
  </si>
  <si>
    <t xml:space="preserve">Admin training deck + video walkthroughs. Reviewed by Sabry + HR Ops.</t>
  </si>
  <si>
    <t xml:space="preserve">po,training</t>
  </si>
  <si>
    <t xml:space="preserve">PO: Training content — end users (M1)</t>
  </si>
  <si>
    <t xml:space="preserve">End-user quick-start + deep-dive content. Printable + web format.</t>
  </si>
  <si>
    <t xml:space="preserve">DES: Training visuals (screenshots + diagrams)</t>
  </si>
  <si>
    <t xml:space="preserve">Brand-compliant visuals for training materials.</t>
  </si>
  <si>
    <t xml:space="preserve">design,training</t>
  </si>
  <si>
    <t xml:space="preserve">PO: Training pilot session (dry run)</t>
  </si>
  <si>
    <t xml:space="preserve">Dry-run training with 5 pilot users. Feedback → content tweaks.</t>
  </si>
  <si>
    <t xml:space="preserve">QA: UAT round 3 — final regression + acceptance</t>
  </si>
  <si>
    <t xml:space="preserve">Final regression. UAT sign-off gate. Residual-defect list.</t>
  </si>
  <si>
    <t xml:space="preserve">Sprint 20 — P6 UAT · UAT round 3 + cutover rehearsal</t>
  </si>
  <si>
    <t xml:space="preserve">BE: UAT round 3 — final fixes</t>
  </si>
  <si>
    <t xml:space="preserve">Only P0/P1 defects in scope. Everything else moves to backlog.</t>
  </si>
  <si>
    <t xml:space="preserve">FE: UAT round 3 — final fixes</t>
  </si>
  <si>
    <t xml:space="preserve">DEVOPS: Cutover rehearsal 1 (staging-as-prod)</t>
  </si>
  <si>
    <t xml:space="preserve">Full rehearsal in staging mimicking prod scale. Timed. Runbook refined.</t>
  </si>
  <si>
    <t xml:space="preserve">devops,platform,cutover</t>
  </si>
  <si>
    <t xml:space="preserve">DEVOPS: Cutover rehearsal 2 (full team)</t>
  </si>
  <si>
    <t xml:space="preserve">Second rehearsal with full team participation. Final runbook + rollback plan.</t>
  </si>
  <si>
    <t xml:space="preserve">QA: Final regression run + exit-criteria report</t>
  </si>
  <si>
    <t xml:space="preserve">Automated regression green. Manual smoke complete. Exit-criteria report to PO.</t>
  </si>
  <si>
    <t xml:space="preserve">PO: Go/no-go readiness review</t>
  </si>
  <si>
    <t xml:space="preserve">Review with steerco. Go/no-go decision for 14-Mar go-live.</t>
  </si>
  <si>
    <t xml:space="preserve">BE: Last-mile fixes + production config freeze</t>
  </si>
  <si>
    <t xml:space="preserve">Final P0 bugs. Production config reviewed + frozen.</t>
  </si>
  <si>
    <t xml:space="preserve">Sprint 21 — P7 Cutover · Final fixes + go-live prep + rollback re</t>
  </si>
  <si>
    <t xml:space="preserve">be,platform,cutover</t>
  </si>
  <si>
    <t xml:space="preserve">FE: Last-mile fixes + production build verified</t>
  </si>
  <si>
    <t xml:space="preserve">Final P0 UI bugs. Production build tested end-to-end.</t>
  </si>
  <si>
    <t xml:space="preserve">fe,platform,cutover</t>
  </si>
  <si>
    <t xml:space="preserve">DEVOPS: Production deployment checklist</t>
  </si>
  <si>
    <t xml:space="preserve">Step-by-step deploy checklist. All owners named. Comms plan attached.</t>
  </si>
  <si>
    <t xml:space="preserve">DEVOPS: Rollback plan + rehearsal</t>
  </si>
  <si>
    <t xml:space="preserve">Document rollback to previous state. Rehearse rollback in staging. Timed.</t>
  </si>
  <si>
    <t xml:space="preserve">PO: Go-live comms plan (internal + external)</t>
  </si>
  <si>
    <t xml:space="preserve">Internal announcement + customer-facing comms. Scheduled sends.</t>
  </si>
  <si>
    <t xml:space="preserve">po,cutover</t>
  </si>
  <si>
    <t xml:space="preserve">PO: Day-1 support war-room setup (rota + channels)</t>
  </si>
  <si>
    <t xml:space="preserve">On-call rota, war-room channel, escalation matrix, status-page plan.</t>
  </si>
  <si>
    <t xml:space="preserve">QA: Final smoke test suite (go/no-go gate)</t>
  </si>
  <si>
    <t xml:space="preserve">Critical-path smoke suite. Run against prod post-deploy.</t>
  </si>
  <si>
    <t xml:space="preserve">qa,platform,cutover</t>
  </si>
  <si>
    <t xml:space="preserve">DEVOPS: Production cutover — execute deployment</t>
  </si>
  <si>
    <t xml:space="preserve">Execute checklist on 14-Mar. All-hands war-room. Real-time comms.</t>
  </si>
  <si>
    <t xml:space="preserve">Sprint 22 — P7 Go-Live · GO-LIVE 14-Mar-2027 + Day-1 hypercare</t>
  </si>
  <si>
    <t xml:space="preserve">devops,platform,cutover,go-live</t>
  </si>
  <si>
    <t xml:space="preserve">DEVOPS: DNS + traffic cutover</t>
  </si>
  <si>
    <t xml:space="preserve">DNS flip + traffic verified. Cache warmed. Watch dashboards.</t>
  </si>
  <si>
    <t xml:space="preserve">QA: Post-cutover smoke tests (prod)</t>
  </si>
  <si>
    <t xml:space="preserve">Full smoke in prod. Any red = immediate escalation.</t>
  </si>
  <si>
    <t xml:space="preserve">qa,platform,cutover,go-live</t>
  </si>
  <si>
    <t xml:space="preserve">BE: Day-1 hotfix support (on-call)</t>
  </si>
  <si>
    <t xml:space="preserve">On-call rota. Respond to P0 within 15 min, P1 within 2 h.</t>
  </si>
  <si>
    <t xml:space="preserve">be,platform,hypercare</t>
  </si>
  <si>
    <t xml:space="preserve">FE: Day-1 hotfix support (on-call)</t>
  </si>
  <si>
    <t xml:space="preserve">fe,platform,hypercare</t>
  </si>
  <si>
    <t xml:space="preserve">PO: Go-live retrospective (what went well / improve)</t>
  </si>
  <si>
    <t xml:space="preserve">Retro with full team + stakeholders. Lessons logged + fed into Phase-2 plan.</t>
  </si>
  <si>
    <t xml:space="preserve">po,retro</t>
  </si>
  <si>
    <t xml:space="preserve">Sub-tasks — representative patterns (575 sub-tasks)</t>
  </si>
  <si>
    <t xml:space="preserve">Note — these are representative sub-tasks for ≥3 SP stories. Refine per story during sprint refinement in Jira.</t>
  </si>
  <si>
    <t xml:space="preserve">Parent Summary</t>
  </si>
  <si>
    <t xml:space="preserve">Original Estimate (hrs)</t>
  </si>
  <si>
    <t xml:space="preserve">Sub-task</t>
  </si>
  <si>
    <t xml:space="preserve">Schema/migration — Provision dev/stage/prod environments</t>
  </si>
  <si>
    <t xml:space="preserve">sub</t>
  </si>
  <si>
    <t xml:space="preserve">Implementation — Provision dev/stage/prod environments</t>
  </si>
  <si>
    <t xml:space="preserve">Unit + integration tests — Provision dev/stage/prod environments</t>
  </si>
  <si>
    <t xml:space="preserve">Schema/migration — Set up CI/CD pipeline (BE + FE)</t>
  </si>
  <si>
    <t xml:space="preserve">Implementation — Set up CI/CD pipeline (BE + FE)</t>
  </si>
  <si>
    <t xml:space="preserve">Unit + integration tests — Set up CI/CD pipeline (BE + FE)</t>
  </si>
  <si>
    <t xml:space="preserve">Component/page build — Bootstrap FE repo + design system package</t>
  </si>
  <si>
    <t xml:space="preserve">State wiring + form validation — Bootstrap FE repo + design system package</t>
  </si>
  <si>
    <t xml:space="preserve">E2E + a11y pass — Bootstrap FE repo + design system package</t>
  </si>
  <si>
    <t xml:space="preserve">Component/page build — Design system token package (colors/type/spacing)</t>
  </si>
  <si>
    <t xml:space="preserve">State wiring + form validation — Design system token package (colors/type/spacing)</t>
  </si>
  <si>
    <t xml:space="preserve">E2E + a11y pass — Design system token package (colors/type/spacing)</t>
  </si>
  <si>
    <t xml:space="preserve">Research / draft — Stakeholder interviews — Records management</t>
  </si>
  <si>
    <t xml:space="preserve">Review + finalize — Stakeholder interviews — Records management</t>
  </si>
  <si>
    <t xml:space="preserve">Research / draft — Stakeholder interviews — Org structure</t>
  </si>
  <si>
    <t xml:space="preserve">Review + finalize — Stakeholder interviews — Org structure</t>
  </si>
  <si>
    <t xml:space="preserve">Research / draft — Spike — Auth provider comparison (Auth0/Keycloak/Cognito)</t>
  </si>
  <si>
    <t xml:space="preserve">Review + finalize — Spike — Auth provider comparison (Auth0/Keycloak/Cognito)</t>
  </si>
  <si>
    <t xml:space="preserve">Research / draft — Spike — Multi-tenancy pattern selection</t>
  </si>
  <si>
    <t xml:space="preserve">Review + finalize — Spike — Multi-tenancy pattern selection</t>
  </si>
  <si>
    <t xml:space="preserve">Figma build — UX research synthesis (existing materials)</t>
  </si>
  <si>
    <t xml:space="preserve">Review + handoff — UX research synthesis (existing materials)</t>
  </si>
  <si>
    <t xml:space="preserve">Schema/migration — Data model design — Employees + audit fields</t>
  </si>
  <si>
    <t xml:space="preserve">Implementation — Data model design — Employees + audit fields</t>
  </si>
  <si>
    <t xml:space="preserve">Unit + integration tests — Data model design — Employees + audit fields</t>
  </si>
  <si>
    <t xml:space="preserve">Schema/migration — Data model design — Org structure + positions</t>
  </si>
  <si>
    <t xml:space="preserve">Implementation — Data model design — Org structure + positions</t>
  </si>
  <si>
    <t xml:space="preserve">Unit + integration tests — Data model design — Org structure + positions</t>
  </si>
  <si>
    <t xml:space="preserve">Test plan + cases — Test strategy document (M1 Phase-1)</t>
  </si>
  <si>
    <t xml:space="preserve">Automation scripts — Test strategy document (M1 Phase-1)</t>
  </si>
  <si>
    <t xml:space="preserve">Component/page build — UI architecture decision record (ADR)</t>
  </si>
  <si>
    <t xml:space="preserve">State wiring + form validation — UI architecture decision record (ADR)</t>
  </si>
  <si>
    <t xml:space="preserve">E2E + a11y pass — UI architecture decision record (ADR)</t>
  </si>
  <si>
    <t xml:space="preserve">Figma build — Master layout — high-fidelity (from approved low-fi)</t>
  </si>
  <si>
    <t xml:space="preserve">Review + handoff — Master layout — high-fidelity (from approved low-fi)</t>
  </si>
  <si>
    <t xml:space="preserve">Research / draft — Stakeholder interviews — Contracts &amp; documents</t>
  </si>
  <si>
    <t xml:space="preserve">Review + finalize — Stakeholder interviews — Contracts &amp; documents</t>
  </si>
  <si>
    <t xml:space="preserve">Research / draft — Stakeholder interviews — Lifecycle events</t>
  </si>
  <si>
    <t xml:space="preserve">Review + finalize — Stakeholder interviews — Lifecycle events</t>
  </si>
  <si>
    <t xml:space="preserve">Research / draft — Stakeholder interviews — M10 Sys Admin</t>
  </si>
  <si>
    <t xml:space="preserve">Review + finalize — Stakeholder interviews — M10 Sys Admin</t>
  </si>
  <si>
    <t xml:space="preserve">Schema/migration — Data model design — Contracts + documents</t>
  </si>
  <si>
    <t xml:space="preserve">Implementation — Data model design — Contracts + documents</t>
  </si>
  <si>
    <t xml:space="preserve">Unit + integration tests — Data model design — Contracts + documents</t>
  </si>
  <si>
    <t xml:space="preserve">Schema/migration — Data model design — Lifecycle events + approvals</t>
  </si>
  <si>
    <t xml:space="preserve">Implementation — Data model design — Lifecycle events + approvals</t>
  </si>
  <si>
    <t xml:space="preserve">Unit + integration tests — Data model design — Lifecycle events + approvals</t>
  </si>
  <si>
    <t xml:space="preserve">Research / draft — Integration contract — SSO (OIDC)</t>
  </si>
  <si>
    <t xml:space="preserve">Review + finalize — Integration contract — SSO (OIDC)</t>
  </si>
  <si>
    <t xml:space="preserve">Research / draft — Integration contract — Data imports (CSV/API)</t>
  </si>
  <si>
    <t xml:space="preserve">Review + finalize — Integration contract — Data imports (CSV/API)</t>
  </si>
  <si>
    <t xml:space="preserve">Figma build — Component library — Forms (inputs, selects, datepickers)</t>
  </si>
  <si>
    <t xml:space="preserve">Review + handoff — Component library — Forms (inputs, selects, datepickers)</t>
  </si>
  <si>
    <t xml:space="preserve">Figma build — Component library — Data display (tables, cards)</t>
  </si>
  <si>
    <t xml:space="preserve">Review + handoff — Component library — Data display (tables, cards)</t>
  </si>
  <si>
    <t xml:space="preserve">Figma build — M1 Employee records wireframes (list + detail + edit)</t>
  </si>
  <si>
    <t xml:space="preserve">Review + handoff — M1 Employee records wireframes (list + detail + edit)</t>
  </si>
  <si>
    <t xml:space="preserve">Figma build — M1 Org structure + Positions wireframes</t>
  </si>
  <si>
    <t xml:space="preserve">Review + handoff — M1 Org structure + Positions wireframes</t>
  </si>
  <si>
    <t xml:space="preserve">Figma build — M1 Contracts + documents wireframes</t>
  </si>
  <si>
    <t xml:space="preserve">Review + handoff — M1 Contracts + documents wireframes</t>
  </si>
  <si>
    <t xml:space="preserve">Figma build — M1 Lifecycle events + approvals wireframes</t>
  </si>
  <si>
    <t xml:space="preserve">Review + handoff — M1 Lifecycle events + approvals wireframes</t>
  </si>
  <si>
    <t xml:space="preserve">Figma build — M10 Admin wireframes</t>
  </si>
  <si>
    <t xml:space="preserve">Review + handoff — M10 Admin wireframes</t>
  </si>
  <si>
    <t xml:space="preserve">Figma build — Component library — Navigation + shell</t>
  </si>
  <si>
    <t xml:space="preserve">Review + handoff — Component library — Navigation + shell</t>
  </si>
  <si>
    <t xml:space="preserve">Test plan + cases — Test environment setup (local + stage)</t>
  </si>
  <si>
    <t xml:space="preserve">Automation scripts — Test environment setup (local + stage)</t>
  </si>
  <si>
    <t xml:space="preserve">Test plan + cases — Automation framework scaffolding</t>
  </si>
  <si>
    <t xml:space="preserve">Automation scripts — Automation framework scaffolding</t>
  </si>
  <si>
    <t xml:space="preserve">Component/page build — Shared components — Button / Input / Select</t>
  </si>
  <si>
    <t xml:space="preserve">State wiring + form validation — Shared components — Button / Input / Select</t>
  </si>
  <si>
    <t xml:space="preserve">E2E + a11y pass — Shared components — Button / Input / Select</t>
  </si>
  <si>
    <t xml:space="preserve">Component/page build — Shared components — Table / Card / Badge</t>
  </si>
  <si>
    <t xml:space="preserve">State wiring + form validation — Shared components — Table / Card / Badge</t>
  </si>
  <si>
    <t xml:space="preserve">E2E + a11y pass — Shared components — Table / Card / Badge</t>
  </si>
  <si>
    <t xml:space="preserve">Schema/migration — API convention doc + OpenAPI scaffolding</t>
  </si>
  <si>
    <t xml:space="preserve">Implementation — API convention doc + OpenAPI scaffolding</t>
  </si>
  <si>
    <t xml:space="preserve">Unit + integration tests — API convention doc + OpenAPI scaffolding</t>
  </si>
  <si>
    <t xml:space="preserve">Schema/migration — Database migration tooling + seed-data pattern</t>
  </si>
  <si>
    <t xml:space="preserve">Implementation — Database migration tooling + seed-data pattern</t>
  </si>
  <si>
    <t xml:space="preserve">Unit + integration tests — Database migration tooling + seed-data pattern</t>
  </si>
  <si>
    <t xml:space="preserve">Schema/migration — Tenancy data model + migrations</t>
  </si>
  <si>
    <t xml:space="preserve">Implementation — Tenancy data model + migrations</t>
  </si>
  <si>
    <t xml:space="preserve">Unit + integration tests — Tenancy data model + migrations</t>
  </si>
  <si>
    <t xml:space="preserve">Schema/migration — Tenant-isolation middleware + query guards</t>
  </si>
  <si>
    <t xml:space="preserve">Implementation — Tenant-isolation middleware + query guards</t>
  </si>
  <si>
    <t xml:space="preserve">Unit + integration tests — Tenant-isolation middleware + query guards</t>
  </si>
  <si>
    <t xml:space="preserve">Schema/migration — SSO integration — OIDC provider connection</t>
  </si>
  <si>
    <t xml:space="preserve">Implementation — SSO integration — OIDC provider connection</t>
  </si>
  <si>
    <t xml:space="preserve">Unit + integration tests — SSO integration — OIDC provider connection</t>
  </si>
  <si>
    <t xml:space="preserve">Schema/migration — SSO session handling + refresh tokens</t>
  </si>
  <si>
    <t xml:space="preserve">Implementation — SSO session handling + refresh tokens</t>
  </si>
  <si>
    <t xml:space="preserve">Unit + integration tests — SSO session handling + refresh tokens</t>
  </si>
  <si>
    <t xml:space="preserve">Schema/migration — RBAC schema (roles, permissions, role_permissions)</t>
  </si>
  <si>
    <t xml:space="preserve">Implementation — RBAC schema (roles, permissions, role_permissions)</t>
  </si>
  <si>
    <t xml:space="preserve">Unit + integration tests — RBAC schema (roles, permissions, role_permissions)</t>
  </si>
  <si>
    <t xml:space="preserve">Schema/migration — RBAC enforcement middleware + decorators</t>
  </si>
  <si>
    <t xml:space="preserve">Implementation — RBAC enforcement middleware + decorators</t>
  </si>
  <si>
    <t xml:space="preserve">Unit + integration tests — RBAC enforcement middleware + decorators</t>
  </si>
  <si>
    <t xml:space="preserve">Component/page build — Login screen + SSO flow</t>
  </si>
  <si>
    <t xml:space="preserve">State wiring + form validation — Login screen + SSO flow</t>
  </si>
  <si>
    <t xml:space="preserve">E2E + a11y pass — Login screen + SSO flow</t>
  </si>
  <si>
    <t xml:space="preserve">Component/page build — Tenant-aware routing + URL scheme</t>
  </si>
  <si>
    <t xml:space="preserve">State wiring + form validation — Tenant-aware routing + URL scheme</t>
  </si>
  <si>
    <t xml:space="preserve">E2E + a11y pass — Tenant-aware routing + URL scheme</t>
  </si>
  <si>
    <t xml:space="preserve">Component/page build — Session management + auto-refresh + idle logout</t>
  </si>
  <si>
    <t xml:space="preserve">State wiring + form validation — Session management + auto-refresh + idle logout</t>
  </si>
  <si>
    <t xml:space="preserve">E2E + a11y pass — Session management + auto-refresh + idle logout</t>
  </si>
  <si>
    <t xml:space="preserve">Test plan + cases — Auth + tenancy + RBAC test suite</t>
  </si>
  <si>
    <t xml:space="preserve">Automation scripts — Auth + tenancy + RBAC test suite</t>
  </si>
  <si>
    <t xml:space="preserve">Schema/migration — Audit log data model + write-path</t>
  </si>
  <si>
    <t xml:space="preserve">Implementation — Audit log data model + write-path</t>
  </si>
  <si>
    <t xml:space="preserve">Unit + integration tests — Audit log data model + write-path</t>
  </si>
  <si>
    <t xml:space="preserve">Schema/migration — Audit log query API (filters + pagination)</t>
  </si>
  <si>
    <t xml:space="preserve">Implementation — Audit log query API (filters + pagination)</t>
  </si>
  <si>
    <t xml:space="preserve">Unit + integration tests — Audit log query API (filters + pagination)</t>
  </si>
  <si>
    <t xml:space="preserve">Schema/migration — Platform config endpoints (branding, locale)</t>
  </si>
  <si>
    <t xml:space="preserve">Implementation — Platform config endpoints (branding, locale)</t>
  </si>
  <si>
    <t xml:space="preserve">Unit + integration tests — Platform config endpoints (branding, locale)</t>
  </si>
  <si>
    <t xml:space="preserve">Component/page build — App shell (header + content + footer)</t>
  </si>
  <si>
    <t xml:space="preserve">State wiring + form validation — App shell (header + content + footer)</t>
  </si>
  <si>
    <t xml:space="preserve">E2E + a11y pass — App shell (header + content + footer)</t>
  </si>
  <si>
    <t xml:space="preserve">Component/page build — Collapsible sidebar with module navigation</t>
  </si>
  <si>
    <t xml:space="preserve">State wiring + form validation — Collapsible sidebar with module navigation</t>
  </si>
  <si>
    <t xml:space="preserve">E2E + a11y pass — Collapsible sidebar with module navigation</t>
  </si>
  <si>
    <t xml:space="preserve">Component/page build — Brand tokens wired into runtime theme</t>
  </si>
  <si>
    <t xml:space="preserve">State wiring + form validation — Brand tokens wired into runtime theme</t>
  </si>
  <si>
    <t xml:space="preserve">E2E + a11y pass — Brand tokens wired into runtime theme</t>
  </si>
  <si>
    <t xml:space="preserve">Component/page build — User menu + profile dropdown + logout</t>
  </si>
  <si>
    <t xml:space="preserve">State wiring + form validation — User menu + profile dropdown + logout</t>
  </si>
  <si>
    <t xml:space="preserve">E2E + a11y pass — User menu + profile dropdown + logout</t>
  </si>
  <si>
    <t xml:space="preserve">Component/page build — Error boundaries + empty states + loading shells</t>
  </si>
  <si>
    <t xml:space="preserve">State wiring + form validation — Error boundaries + empty states + loading shells</t>
  </si>
  <si>
    <t xml:space="preserve">E2E + a11y pass — Error boundaries + empty states + loading shells</t>
  </si>
  <si>
    <t xml:space="preserve">Test plan + cases — Audit log + shell e2e + accessibility pass</t>
  </si>
  <si>
    <t xml:space="preserve">Automation scripts — Audit log + shell e2e + accessibility pass</t>
  </si>
  <si>
    <t xml:space="preserve">Schema/migration — Staging environment hardening</t>
  </si>
  <si>
    <t xml:space="preserve">Implementation — Staging environment hardening</t>
  </si>
  <si>
    <t xml:space="preserve">Unit + integration tests — Staging environment hardening</t>
  </si>
  <si>
    <t xml:space="preserve">Schema/migration — employees table + migrations + seed</t>
  </si>
  <si>
    <t xml:space="preserve">Implementation — employees table + migrations + seed</t>
  </si>
  <si>
    <t xml:space="preserve">Unit + integration tests — employees table + migrations + seed</t>
  </si>
  <si>
    <t xml:space="preserve">Schema/migration — GET /employees (list + filter + paginate + sort)</t>
  </si>
  <si>
    <t xml:space="preserve">Implementation — GET /employees (list + filter + paginate + sort)</t>
  </si>
  <si>
    <t xml:space="preserve">Unit + integration tests — GET /employees (list + filter + paginate + sort)</t>
  </si>
  <si>
    <t xml:space="preserve">Schema/migration — GET /employees/:id (full detail)</t>
  </si>
  <si>
    <t xml:space="preserve">Implementation — GET /employees/:id (full detail)</t>
  </si>
  <si>
    <t xml:space="preserve">Unit + integration tests — GET /employees/:id (full detail)</t>
  </si>
  <si>
    <t xml:space="preserve">Schema/migration — POST /employees (create + validation)</t>
  </si>
  <si>
    <t xml:space="preserve">Implementation — POST /employees (create + validation)</t>
  </si>
  <si>
    <t xml:space="preserve">Unit + integration tests — POST /employees (create + validation)</t>
  </si>
  <si>
    <t xml:space="preserve">Schema/migration — PUT /employees/:id (update + partial)</t>
  </si>
  <si>
    <t xml:space="preserve">Implementation — PUT /employees/:id (update + partial)</t>
  </si>
  <si>
    <t xml:space="preserve">Unit + integration tests — PUT /employees/:id (update + partial)</t>
  </si>
  <si>
    <t xml:space="preserve">Schema/migration — DELETE /employees/:id (soft-delete + restore)</t>
  </si>
  <si>
    <t xml:space="preserve">Implementation — DELETE /employees/:id (soft-delete + restore)</t>
  </si>
  <si>
    <t xml:space="preserve">Unit + integration tests — DELETE /employees/:id (soft-delete + restore)</t>
  </si>
  <si>
    <t xml:space="preserve">Schema/migration — Employee search (full-text)</t>
  </si>
  <si>
    <t xml:space="preserve">Implementation — Employee search (full-text)</t>
  </si>
  <si>
    <t xml:space="preserve">Unit + integration tests — Employee search (full-text)</t>
  </si>
  <si>
    <t xml:space="preserve">Component/page build — Employees list page (table + filters + search)</t>
  </si>
  <si>
    <t xml:space="preserve">State wiring + form validation — Employees list page (table + filters + search)</t>
  </si>
  <si>
    <t xml:space="preserve">E2E + a11y pass — Employees list page (table + filters + search)</t>
  </si>
  <si>
    <t xml:space="preserve">Component/page build — Employee detail page (tabs: profile, employment, docs)</t>
  </si>
  <si>
    <t xml:space="preserve">State wiring + form validation — Employee detail page (tabs: profile, employment, docs)</t>
  </si>
  <si>
    <t xml:space="preserve">E2E + a11y pass — Employee detail page (tabs: profile, employment, docs)</t>
  </si>
  <si>
    <t xml:space="preserve">Component/page build — Employee create form (multi-step wizard)</t>
  </si>
  <si>
    <t xml:space="preserve">State wiring + form validation — Employee create form (multi-step wizard)</t>
  </si>
  <si>
    <t xml:space="preserve">E2E + a11y pass — Employee create form (multi-step wizard)</t>
  </si>
  <si>
    <t xml:space="preserve">Component/page build — Employee edit form + inline-edit where appropriate</t>
  </si>
  <si>
    <t xml:space="preserve">State wiring + form validation — Employee edit form + inline-edit where appropriate</t>
  </si>
  <si>
    <t xml:space="preserve">E2E + a11y pass — Employee edit form + inline-edit where appropriate</t>
  </si>
  <si>
    <t xml:space="preserve">Component/page build — Employee profile header component</t>
  </si>
  <si>
    <t xml:space="preserve">State wiring + form validation — Employee profile header component</t>
  </si>
  <si>
    <t xml:space="preserve">E2E + a11y pass — Employee profile header component</t>
  </si>
  <si>
    <t xml:space="preserve">Test plan + cases — Employee CRUD test cases + automation</t>
  </si>
  <si>
    <t xml:space="preserve">Automation scripts — Employee CRUD test cases + automation</t>
  </si>
  <si>
    <t xml:space="preserve">Test plan + cases — Employee search + filter test cases</t>
  </si>
  <si>
    <t xml:space="preserve">Automation scripts — Employee search + filter test cases</t>
  </si>
  <si>
    <t xml:space="preserve">Schema/migration — org_units table + migrations + tree queries</t>
  </si>
  <si>
    <t xml:space="preserve">Implementation — org_units table + migrations + tree queries</t>
  </si>
  <si>
    <t xml:space="preserve">Unit + integration tests — org_units table + migrations + tree queries</t>
  </si>
  <si>
    <t xml:space="preserve">Schema/migration — Org units CRUD API</t>
  </si>
  <si>
    <t xml:space="preserve">Implementation — Org units CRUD API</t>
  </si>
  <si>
    <t xml:space="preserve">Unit + integration tests — Org units CRUD API</t>
  </si>
  <si>
    <t xml:space="preserve">Schema/migration — Org tree query endpoint (full + subtree)</t>
  </si>
  <si>
    <t xml:space="preserve">Implementation — Org tree query endpoint (full + subtree)</t>
  </si>
  <si>
    <t xml:space="preserve">Unit + integration tests — Org tree query endpoint (full + subtree)</t>
  </si>
  <si>
    <t xml:space="preserve">Schema/migration — positions table + CRUD API</t>
  </si>
  <si>
    <t xml:space="preserve">Implementation — positions table + CRUD API</t>
  </si>
  <si>
    <t xml:space="preserve">Unit + integration tests — positions table + CRUD API</t>
  </si>
  <si>
    <t xml:space="preserve">Schema/migration — Position assignment API</t>
  </si>
  <si>
    <t xml:space="preserve">Implementation — Position assignment API</t>
  </si>
  <si>
    <t xml:space="preserve">Unit + integration tests — Position assignment API</t>
  </si>
  <si>
    <t xml:space="preserve">Schema/migration — Reporting-line query endpoint</t>
  </si>
  <si>
    <t xml:space="preserve">Implementation — Reporting-line query endpoint</t>
  </si>
  <si>
    <t xml:space="preserve">Unit + integration tests — Reporting-line query endpoint</t>
  </si>
  <si>
    <t xml:space="preserve">Component/page build — Org chart visualization (interactive)</t>
  </si>
  <si>
    <t xml:space="preserve">State wiring + form validation — Org chart visualization (interactive)</t>
  </si>
  <si>
    <t xml:space="preserve">E2E + a11y pass — Org chart visualization (interactive)</t>
  </si>
  <si>
    <t xml:space="preserve">Component/page build — Org unit create/edit form + move dialog</t>
  </si>
  <si>
    <t xml:space="preserve">State wiring + form validation — Org unit create/edit form + move dialog</t>
  </si>
  <si>
    <t xml:space="preserve">E2E + a11y pass — Org unit create/edit form + move dialog</t>
  </si>
  <si>
    <t xml:space="preserve">Component/page build — Positions list + detail pages</t>
  </si>
  <si>
    <t xml:space="preserve">State wiring + form validation — Positions list + detail pages</t>
  </si>
  <si>
    <t xml:space="preserve">E2E + a11y pass — Positions list + detail pages</t>
  </si>
  <si>
    <t xml:space="preserve">Component/page build — Position assignment UI (assign / unassign)</t>
  </si>
  <si>
    <t xml:space="preserve">State wiring + form validation — Position assignment UI (assign / unassign)</t>
  </si>
  <si>
    <t xml:space="preserve">E2E + a11y pass — Position assignment UI (assign / unassign)</t>
  </si>
  <si>
    <t xml:space="preserve">Component/page build — Org unit picker component (shared)</t>
  </si>
  <si>
    <t xml:space="preserve">State wiring + form validation — Org unit picker component (shared)</t>
  </si>
  <si>
    <t xml:space="preserve">E2E + a11y pass — Org unit picker component (shared)</t>
  </si>
  <si>
    <t xml:space="preserve">Test plan + cases — Org structure + positions test cases</t>
  </si>
  <si>
    <t xml:space="preserve">Automation scripts — Org structure + positions test cases</t>
  </si>
  <si>
    <t xml:space="preserve">Schema/migration — contracts + contract_versions tables + migrations</t>
  </si>
  <si>
    <t xml:space="preserve">Implementation — contracts + contract_versions tables + migrations</t>
  </si>
  <si>
    <t xml:space="preserve">Unit + integration tests — contracts + contract_versions tables + migrations</t>
  </si>
  <si>
    <t xml:space="preserve">Schema/migration — Contracts CRUD API</t>
  </si>
  <si>
    <t xml:space="preserve">Implementation — Contracts CRUD API</t>
  </si>
  <si>
    <t xml:space="preserve">Unit + integration tests — Contracts CRUD API</t>
  </si>
  <si>
    <t xml:space="preserve">Schema/migration — Contract lifecycle state machine</t>
  </si>
  <si>
    <t xml:space="preserve">Implementation — Contract lifecycle state machine</t>
  </si>
  <si>
    <t xml:space="preserve">Unit + integration tests — Contract lifecycle state machine</t>
  </si>
  <si>
    <t xml:space="preserve">Schema/migration — documents + document_acl tables + S3 bucket</t>
  </si>
  <si>
    <t xml:space="preserve">Implementation — documents + document_acl tables + S3 bucket</t>
  </si>
  <si>
    <t xml:space="preserve">Unit + integration tests — documents + document_acl tables + S3 bucket</t>
  </si>
  <si>
    <t xml:space="preserve">Schema/migration — Document upload (signed-URL + virus-scan)</t>
  </si>
  <si>
    <t xml:space="preserve">Implementation — Document upload (signed-URL + virus-scan)</t>
  </si>
  <si>
    <t xml:space="preserve">Unit + integration tests — Document upload (signed-URL + virus-scan)</t>
  </si>
  <si>
    <t xml:space="preserve">Schema/migration — Document download/metadata endpoint</t>
  </si>
  <si>
    <t xml:space="preserve">Implementation — Document download/metadata endpoint</t>
  </si>
  <si>
    <t xml:space="preserve">Unit + integration tests — Document download/metadata endpoint</t>
  </si>
  <si>
    <t xml:space="preserve">Component/page build — Contracts list + detail pages</t>
  </si>
  <si>
    <t xml:space="preserve">State wiring + form validation — Contracts list + detail pages</t>
  </si>
  <si>
    <t xml:space="preserve">E2E + a11y pass — Contracts list + detail pages</t>
  </si>
  <si>
    <t xml:space="preserve">Component/page build — Contract create/edit form</t>
  </si>
  <si>
    <t xml:space="preserve">State wiring + form validation — Contract create/edit form</t>
  </si>
  <si>
    <t xml:space="preserve">E2E + a11y pass — Contract create/edit form</t>
  </si>
  <si>
    <t xml:space="preserve">Component/page build — Contract lifecycle actions (renew / terminate / sign)</t>
  </si>
  <si>
    <t xml:space="preserve">State wiring + form validation — Contract lifecycle actions (renew / terminate / sign)</t>
  </si>
  <si>
    <t xml:space="preserve">E2E + a11y pass — Contract lifecycle actions (renew / terminate / sign)</t>
  </si>
  <si>
    <t xml:space="preserve">Component/page build — Documents vault page (per employee)</t>
  </si>
  <si>
    <t xml:space="preserve">State wiring + form validation — Documents vault page (per employee)</t>
  </si>
  <si>
    <t xml:space="preserve">E2E + a11y pass — Documents vault page (per employee)</t>
  </si>
  <si>
    <t xml:space="preserve">Component/page build — Document upload widget (drag-drop + progress)</t>
  </si>
  <si>
    <t xml:space="preserve">State wiring + form validation — Document upload widget (drag-drop + progress)</t>
  </si>
  <si>
    <t xml:space="preserve">E2E + a11y pass — Document upload widget (drag-drop + progress)</t>
  </si>
  <si>
    <t xml:space="preserve">Component/page build — Document viewer (PDF preview modal)</t>
  </si>
  <si>
    <t xml:space="preserve">State wiring + form validation — Document viewer (PDF preview modal)</t>
  </si>
  <si>
    <t xml:space="preserve">E2E + a11y pass — Document viewer (PDF preview modal)</t>
  </si>
  <si>
    <t xml:space="preserve">Test plan + cases — Contracts + documents test cases</t>
  </si>
  <si>
    <t xml:space="preserve">Automation scripts — Contracts + documents test cases</t>
  </si>
  <si>
    <t xml:space="preserve">Schema/migration — lifecycle_events table + API (hire/promote/transfer/terminat</t>
  </si>
  <si>
    <t xml:space="preserve">Implementation — lifecycle_events table + API (hire/promote/transfer/terminat</t>
  </si>
  <si>
    <t xml:space="preserve">Unit + integration tests — lifecycle_events table + API (hire/promote/transfer/terminat</t>
  </si>
  <si>
    <t xml:space="preserve">Schema/migration — Approvals data model (workflows, steps, history)</t>
  </si>
  <si>
    <t xml:space="preserve">Implementation — Approvals data model (workflows, steps, history)</t>
  </si>
  <si>
    <t xml:space="preserve">Unit + integration tests — Approvals data model (workflows, steps, history)</t>
  </si>
  <si>
    <t xml:space="preserve">Schema/migration — Approval engine — state transitions</t>
  </si>
  <si>
    <t xml:space="preserve">Implementation — Approval engine — state transitions</t>
  </si>
  <si>
    <t xml:space="preserve">Unit + integration tests — Approval engine — state transitions</t>
  </si>
  <si>
    <t xml:space="preserve">Schema/migration — Notifications service + email templates</t>
  </si>
  <si>
    <t xml:space="preserve">Implementation — Notifications service + email templates</t>
  </si>
  <si>
    <t xml:space="preserve">Unit + integration tests — Notifications service + email templates</t>
  </si>
  <si>
    <t xml:space="preserve">Schema/migration — Approval audit trail + SLA metrics</t>
  </si>
  <si>
    <t xml:space="preserve">Implementation — Approval audit trail + SLA metrics</t>
  </si>
  <si>
    <t xml:space="preserve">Unit + integration tests — Approval audit trail + SLA metrics</t>
  </si>
  <si>
    <t xml:space="preserve">Component/page build — Lifecycle event timeline component</t>
  </si>
  <si>
    <t xml:space="preserve">State wiring + form validation — Lifecycle event timeline component</t>
  </si>
  <si>
    <t xml:space="preserve">E2E + a11y pass — Lifecycle event timeline component</t>
  </si>
  <si>
    <t xml:space="preserve">Component/page build — Lifecycle event create wizard (promote/transfer)</t>
  </si>
  <si>
    <t xml:space="preserve">State wiring + form validation — Lifecycle event create wizard (promote/transfer)</t>
  </si>
  <si>
    <t xml:space="preserve">E2E + a11y pass — Lifecycle event create wizard (promote/transfer)</t>
  </si>
  <si>
    <t xml:space="preserve">Component/page build — Approvals inbox page (pending + completed)</t>
  </si>
  <si>
    <t xml:space="preserve">State wiring + form validation — Approvals inbox page (pending + completed)</t>
  </si>
  <si>
    <t xml:space="preserve">E2E + a11y pass — Approvals inbox page (pending + completed)</t>
  </si>
  <si>
    <t xml:space="preserve">Component/page build — Approval detail page + approve/reject action</t>
  </si>
  <si>
    <t xml:space="preserve">State wiring + form validation — Approval detail page + approve/reject action</t>
  </si>
  <si>
    <t xml:space="preserve">E2E + a11y pass — Approval detail page + approve/reject action</t>
  </si>
  <si>
    <t xml:space="preserve">Component/page build — Notifications UI (bell icon + dropdown + mark-read)</t>
  </si>
  <si>
    <t xml:space="preserve">State wiring + form validation — Notifications UI (bell icon + dropdown + mark-read)</t>
  </si>
  <si>
    <t xml:space="preserve">E2E + a11y pass — Notifications UI (bell icon + dropdown + mark-read)</t>
  </si>
  <si>
    <t xml:space="preserve">Test plan + cases — Lifecycle events test cases</t>
  </si>
  <si>
    <t xml:space="preserve">Automation scripts — Lifecycle events test cases</t>
  </si>
  <si>
    <t xml:space="preserve">Test plan + cases — Approvals test cases + SLA scenarios</t>
  </si>
  <si>
    <t xml:space="preserve">Automation scripts — Approvals test cases + SLA scenarios</t>
  </si>
  <si>
    <t xml:space="preserve">Schema/migration — Query performance tuning + indexes review</t>
  </si>
  <si>
    <t xml:space="preserve">Implementation — Query performance tuning + indexes review</t>
  </si>
  <si>
    <t xml:space="preserve">Unit + integration tests — Query performance tuning + indexes review</t>
  </si>
  <si>
    <t xml:space="preserve">Schema/migration — API rate limiting + throttling per tenant</t>
  </si>
  <si>
    <t xml:space="preserve">Implementation — API rate limiting + throttling per tenant</t>
  </si>
  <si>
    <t xml:space="preserve">Unit + integration tests — API rate limiting + throttling per tenant</t>
  </si>
  <si>
    <t xml:space="preserve">Schema/migration — Bulk import API (employees CSV)</t>
  </si>
  <si>
    <t xml:space="preserve">Implementation — Bulk import API (employees CSV)</t>
  </si>
  <si>
    <t xml:space="preserve">Unit + integration tests — Bulk import API (employees CSV)</t>
  </si>
  <si>
    <t xml:space="preserve">Schema/migration — Export API (employees, contracts, org)</t>
  </si>
  <si>
    <t xml:space="preserve">Implementation — Export API (employees, contracts, org)</t>
  </si>
  <si>
    <t xml:space="preserve">Unit + integration tests — Export API (employees, contracts, org)</t>
  </si>
  <si>
    <t xml:space="preserve">Schema/migration — M10 admin scaffolding (users, roles, permissions routes)</t>
  </si>
  <si>
    <t xml:space="preserve">Implementation — M10 admin scaffolding (users, roles, permissions routes)</t>
  </si>
  <si>
    <t xml:space="preserve">Unit + integration tests — M10 admin scaffolding (users, roles, permissions routes)</t>
  </si>
  <si>
    <t xml:space="preserve">Component/page build — Bulk import wizard UI (upload → map → validate → commit)</t>
  </si>
  <si>
    <t xml:space="preserve">State wiring + form validation — Bulk import wizard UI (upload → map → validate → commit)</t>
  </si>
  <si>
    <t xml:space="preserve">E2E + a11y pass — Bulk import wizard UI (upload → map → validate → commit)</t>
  </si>
  <si>
    <t xml:space="preserve">Component/page build — Export UI (field selector + format picker)</t>
  </si>
  <si>
    <t xml:space="preserve">State wiring + form validation — Export UI (field selector + format picker)</t>
  </si>
  <si>
    <t xml:space="preserve">E2E + a11y pass — Export UI (field selector + format picker)</t>
  </si>
  <si>
    <t xml:space="preserve">Component/page build — Employee profile enhancements (avatar upload + photo crop)</t>
  </si>
  <si>
    <t xml:space="preserve">State wiring + form validation — Employee profile enhancements (avatar upload + photo crop)</t>
  </si>
  <si>
    <t xml:space="preserve">E2E + a11y pass — Employee profile enhancements (avatar upload + photo crop)</t>
  </si>
  <si>
    <t xml:space="preserve">Component/page build — Advanced search + saved filters</t>
  </si>
  <si>
    <t xml:space="preserve">State wiring + form validation — Advanced search + saved filters</t>
  </si>
  <si>
    <t xml:space="preserve">E2E + a11y pass — Advanced search + saved filters</t>
  </si>
  <si>
    <t xml:space="preserve">Component/page build — Home dashboard widgets (stats + recent events)</t>
  </si>
  <si>
    <t xml:space="preserve">State wiring + form validation — Home dashboard widgets (stats + recent events)</t>
  </si>
  <si>
    <t xml:space="preserve">E2E + a11y pass — Home dashboard widgets (stats + recent events)</t>
  </si>
  <si>
    <t xml:space="preserve">Component/page build — M10 admin shell scaffolding (routes + empty pages)</t>
  </si>
  <si>
    <t xml:space="preserve">State wiring + form validation — M10 admin shell scaffolding (routes + empty pages)</t>
  </si>
  <si>
    <t xml:space="preserve">E2E + a11y pass — M10 admin shell scaffolding (routes + empty pages)</t>
  </si>
  <si>
    <t xml:space="preserve">Test plan + cases — M1 full regression test suite + automation run</t>
  </si>
  <si>
    <t xml:space="preserve">Automation scripts — M1 full regression test suite + automation run</t>
  </si>
  <si>
    <t xml:space="preserve">Test plan + cases — Performance test baseline (k6 scenarios)</t>
  </si>
  <si>
    <t xml:space="preserve">Automation scripts — Performance test baseline (k6 scenarios)</t>
  </si>
  <si>
    <t xml:space="preserve">Figma build — M1 visual QA pass + polish tickets</t>
  </si>
  <si>
    <t xml:space="preserve">Review + handoff — M1 visual QA pass + polish tickets</t>
  </si>
  <si>
    <t xml:space="preserve">Schema/migration — Users admin CRUD API (invite/activate/deactivate)</t>
  </si>
  <si>
    <t xml:space="preserve">Implementation — Users admin CRUD API (invite/activate/deactivate)</t>
  </si>
  <si>
    <t xml:space="preserve">Unit + integration tests — Users admin CRUD API (invite/activate/deactivate)</t>
  </si>
  <si>
    <t xml:space="preserve">Schema/migration — Roles CRUD API + default roles seed</t>
  </si>
  <si>
    <t xml:space="preserve">Implementation — Roles CRUD API + default roles seed</t>
  </si>
  <si>
    <t xml:space="preserve">Unit + integration tests — Roles CRUD API + default roles seed</t>
  </si>
  <si>
    <t xml:space="preserve">Schema/migration — Permissions matrix API (permissions × roles)</t>
  </si>
  <si>
    <t xml:space="preserve">Implementation — Permissions matrix API (permissions × roles)</t>
  </si>
  <si>
    <t xml:space="preserve">Unit + integration tests — Permissions matrix API (permissions × roles)</t>
  </si>
  <si>
    <t xml:space="preserve">Schema/migration — User-role assignment API (multi-role)</t>
  </si>
  <si>
    <t xml:space="preserve">Implementation — User-role assignment API (multi-role)</t>
  </si>
  <si>
    <t xml:space="preserve">Unit + integration tests — User-role assignment API (multi-role)</t>
  </si>
  <si>
    <t xml:space="preserve">Component/page build — Users admin list + detail pages</t>
  </si>
  <si>
    <t xml:space="preserve">State wiring + form validation — Users admin list + detail pages</t>
  </si>
  <si>
    <t xml:space="preserve">E2E + a11y pass — Users admin list + detail pages</t>
  </si>
  <si>
    <t xml:space="preserve">Component/page build — Role editor (permissions matrix UI)</t>
  </si>
  <si>
    <t xml:space="preserve">State wiring + form validation — Role editor (permissions matrix UI)</t>
  </si>
  <si>
    <t xml:space="preserve">E2E + a11y pass — Role editor (permissions matrix UI)</t>
  </si>
  <si>
    <t xml:space="preserve">Component/page build — User create/edit form + invite flow</t>
  </si>
  <si>
    <t xml:space="preserve">State wiring + form validation — User create/edit form + invite flow</t>
  </si>
  <si>
    <t xml:space="preserve">E2E + a11y pass — User create/edit form + invite flow</t>
  </si>
  <si>
    <t xml:space="preserve">Test plan + cases — Users/Roles/Permissions test cases</t>
  </si>
  <si>
    <t xml:space="preserve">Automation scripts — Users/Roles/Permissions test cases</t>
  </si>
  <si>
    <t xml:space="preserve">Test plan + cases — Permission enforcement across M1 endpoints</t>
  </si>
  <si>
    <t xml:space="preserve">Automation scripts — Permission enforcement across M1 endpoints</t>
  </si>
  <si>
    <t xml:space="preserve">Schema/migration — Tenant config endpoints (branding, locale, policies)</t>
  </si>
  <si>
    <t xml:space="preserve">Implementation — Tenant config endpoints (branding, locale, policies)</t>
  </si>
  <si>
    <t xml:space="preserve">Unit + integration tests — Tenant config endpoints (branding, locale, policies)</t>
  </si>
  <si>
    <t xml:space="preserve">Schema/migration — Org chart bulk-edit API (reorder + bulk-move)</t>
  </si>
  <si>
    <t xml:space="preserve">Implementation — Org chart bulk-edit API (reorder + bulk-move)</t>
  </si>
  <si>
    <t xml:space="preserve">Unit + integration tests — Org chart bulk-edit API (reorder + bulk-move)</t>
  </si>
  <si>
    <t xml:space="preserve">Schema/migration — Holiday calendar management API</t>
  </si>
  <si>
    <t xml:space="preserve">Implementation — Holiday calendar management API</t>
  </si>
  <si>
    <t xml:space="preserve">Unit + integration tests — Holiday calendar management API</t>
  </si>
  <si>
    <t xml:space="preserve">Schema/migration — Notification template management API</t>
  </si>
  <si>
    <t xml:space="preserve">Implementation — Notification template management API</t>
  </si>
  <si>
    <t xml:space="preserve">Unit + integration tests — Notification template management API</t>
  </si>
  <si>
    <t xml:space="preserve">Component/page build — Tenant settings page (branding + locale + policies)</t>
  </si>
  <si>
    <t xml:space="preserve">State wiring + form validation — Tenant settings page (branding + locale + policies)</t>
  </si>
  <si>
    <t xml:space="preserve">E2E + a11y pass — Tenant settings page (branding + locale + policies)</t>
  </si>
  <si>
    <t xml:space="preserve">Component/page build — Org chart admin UI (bulk edit + dry-run preview)</t>
  </si>
  <si>
    <t xml:space="preserve">State wiring + form validation — Org chart admin UI (bulk edit + dry-run preview)</t>
  </si>
  <si>
    <t xml:space="preserve">E2E + a11y pass — Org chart admin UI (bulk edit + dry-run preview)</t>
  </si>
  <si>
    <t xml:space="preserve">Component/page build — Holiday calendar admin UI</t>
  </si>
  <si>
    <t xml:space="preserve">State wiring + form validation — Holiday calendar admin UI</t>
  </si>
  <si>
    <t xml:space="preserve">E2E + a11y pass — Holiday calendar admin UI</t>
  </si>
  <si>
    <t xml:space="preserve">Component/page build — Notification template editor (with variable picker)</t>
  </si>
  <si>
    <t xml:space="preserve">State wiring + form validation — Notification template editor (with variable picker)</t>
  </si>
  <si>
    <t xml:space="preserve">E2E + a11y pass — Notification template editor (with variable picker)</t>
  </si>
  <si>
    <t xml:space="preserve">Test plan + cases — Tenant config + org admin test cases</t>
  </si>
  <si>
    <t xml:space="preserve">Automation scripts — Tenant config + org admin test cases</t>
  </si>
  <si>
    <t xml:space="preserve">Schema/migration — Audit log search + filter + full-text API</t>
  </si>
  <si>
    <t xml:space="preserve">Implementation — Audit log search + filter + full-text API</t>
  </si>
  <si>
    <t xml:space="preserve">Unit + integration tests — Audit log search + filter + full-text API</t>
  </si>
  <si>
    <t xml:space="preserve">Schema/migration — Audit log export API (CSV streaming)</t>
  </si>
  <si>
    <t xml:space="preserve">Implementation — Audit log export API (CSV streaming)</t>
  </si>
  <si>
    <t xml:space="preserve">Unit + integration tests — Audit log export API (CSV streaming)</t>
  </si>
  <si>
    <t xml:space="preserve">Schema/migration — Integration registry API (configured integrations)</t>
  </si>
  <si>
    <t xml:space="preserve">Implementation — Integration registry API (configured integrations)</t>
  </si>
  <si>
    <t xml:space="preserve">Unit + integration tests — Integration registry API (configured integrations)</t>
  </si>
  <si>
    <t xml:space="preserve">Schema/migration — Webhook configuration API + dispatcher</t>
  </si>
  <si>
    <t xml:space="preserve">Implementation — Webhook configuration API + dispatcher</t>
  </si>
  <si>
    <t xml:space="preserve">Unit + integration tests — Webhook configuration API + dispatcher</t>
  </si>
  <si>
    <t xml:space="preserve">Schema/migration — API token management (create/revoke/rotate)</t>
  </si>
  <si>
    <t xml:space="preserve">Implementation — API token management (create/revoke/rotate)</t>
  </si>
  <si>
    <t xml:space="preserve">Unit + integration tests — API token management (create/revoke/rotate)</t>
  </si>
  <si>
    <t xml:space="preserve">Component/page build — Audit log dashboard (filters + timeline + drill-down)</t>
  </si>
  <si>
    <t xml:space="preserve">State wiring + form validation — Audit log dashboard (filters + timeline + drill-down)</t>
  </si>
  <si>
    <t xml:space="preserve">E2E + a11y pass — Audit log dashboard (filters + timeline + drill-down)</t>
  </si>
  <si>
    <t xml:space="preserve">Component/page build — Integrations config page</t>
  </si>
  <si>
    <t xml:space="preserve">State wiring + form validation — Integrations config page</t>
  </si>
  <si>
    <t xml:space="preserve">E2E + a11y pass — Integrations config page</t>
  </si>
  <si>
    <t xml:space="preserve">Component/page build — Webhook configuration UI</t>
  </si>
  <si>
    <t xml:space="preserve">State wiring + form validation — Webhook configuration UI</t>
  </si>
  <si>
    <t xml:space="preserve">E2E + a11y pass — Webhook configuration UI</t>
  </si>
  <si>
    <t xml:space="preserve">Component/page build — API token management UI</t>
  </si>
  <si>
    <t xml:space="preserve">State wiring + form validation — API token management UI</t>
  </si>
  <si>
    <t xml:space="preserve">E2E + a11y pass — API token management UI</t>
  </si>
  <si>
    <t xml:space="preserve">Test plan + cases — Audit + integrations + webhooks test cases</t>
  </si>
  <si>
    <t xml:space="preserve">Automation scripts — Audit + integrations + webhooks test cases</t>
  </si>
  <si>
    <t xml:space="preserve">Schema/migration — Security review fixes — round 1 (OWASP top 10)</t>
  </si>
  <si>
    <t xml:space="preserve">Implementation — Security review fixes — round 1 (OWASP top 10)</t>
  </si>
  <si>
    <t xml:space="preserve">Unit + integration tests — Security review fixes — round 1 (OWASP top 10)</t>
  </si>
  <si>
    <t xml:space="preserve">Schema/migration — Performance tuning — hot endpoints + caching</t>
  </si>
  <si>
    <t xml:space="preserve">Implementation — Performance tuning — hot endpoints + caching</t>
  </si>
  <si>
    <t xml:space="preserve">Unit + integration tests — Performance tuning — hot endpoints + caching</t>
  </si>
  <si>
    <t xml:space="preserve">Component/page build — Bundle size optimization + tree-shaking audit</t>
  </si>
  <si>
    <t xml:space="preserve">State wiring + form validation — Bundle size optimization + tree-shaking audit</t>
  </si>
  <si>
    <t xml:space="preserve">E2E + a11y pass — Bundle size optimization + tree-shaking audit</t>
  </si>
  <si>
    <t xml:space="preserve">Component/page build — Lazy-loading + route-level code-splitting</t>
  </si>
  <si>
    <t xml:space="preserve">State wiring + form validation — Lazy-loading + route-level code-splitting</t>
  </si>
  <si>
    <t xml:space="preserve">E2E + a11y pass — Lazy-loading + route-level code-splitting</t>
  </si>
  <si>
    <t xml:space="preserve">Component/page build — Accessibility (a11y) pass — M1</t>
  </si>
  <si>
    <t xml:space="preserve">State wiring + form validation — Accessibility (a11y) pass — M1</t>
  </si>
  <si>
    <t xml:space="preserve">E2E + a11y pass — Accessibility (a11y) pass — M1</t>
  </si>
  <si>
    <t xml:space="preserve">Component/page build — Accessibility (a11y) pass — M10</t>
  </si>
  <si>
    <t xml:space="preserve">State wiring + form validation — Accessibility (a11y) pass — M10</t>
  </si>
  <si>
    <t xml:space="preserve">E2E + a11y pass — Accessibility (a11y) pass — M10</t>
  </si>
  <si>
    <t xml:space="preserve">Test plan + cases — Full regression run round 1 + defect report</t>
  </si>
  <si>
    <t xml:space="preserve">Automation scripts — Full regression run round 1 + defect report</t>
  </si>
  <si>
    <t xml:space="preserve">Schema/migration — Staging perf baseline + SLO report</t>
  </si>
  <si>
    <t xml:space="preserve">Implementation — Staging perf baseline + SLO report</t>
  </si>
  <si>
    <t xml:space="preserve">Unit + integration tests — Staging perf baseline + SLO report</t>
  </si>
  <si>
    <t xml:space="preserve">Schema/migration — Load testing scenarios + k6 scripts</t>
  </si>
  <si>
    <t xml:space="preserve">Implementation — Load testing scenarios + k6 scripts</t>
  </si>
  <si>
    <t xml:space="preserve">Unit + integration tests — Load testing scenarios + k6 scripts</t>
  </si>
  <si>
    <t xml:space="preserve">Schema/migration — Load-test fixes + scaling policy tuning</t>
  </si>
  <si>
    <t xml:space="preserve">Implementation — Load-test fixes + scaling policy tuning</t>
  </si>
  <si>
    <t xml:space="preserve">Unit + integration tests — Load-test fixes + scaling policy tuning</t>
  </si>
  <si>
    <t xml:space="preserve">Schema/migration — Security scan fixes (OWASP + CVE backlog)</t>
  </si>
  <si>
    <t xml:space="preserve">Implementation — Security scan fixes (OWASP + CVE backlog)</t>
  </si>
  <si>
    <t xml:space="preserve">Unit + integration tests — Security scan fixes (OWASP + CVE backlog)</t>
  </si>
  <si>
    <t xml:space="preserve">Schema/migration — Secrets rotation + vault setup</t>
  </si>
  <si>
    <t xml:space="preserve">Implementation — Secrets rotation + vault setup</t>
  </si>
  <si>
    <t xml:space="preserve">Unit + integration tests — Secrets rotation + vault setup</t>
  </si>
  <si>
    <t xml:space="preserve">Schema/migration — DR backup + restore testing</t>
  </si>
  <si>
    <t xml:space="preserve">Implementation — DR backup + restore testing</t>
  </si>
  <si>
    <t xml:space="preserve">Unit + integration tests — DR backup + restore testing</t>
  </si>
  <si>
    <t xml:space="preserve">Component/page build — XSS/CSRF hardening audit</t>
  </si>
  <si>
    <t xml:space="preserve">State wiring + form validation — XSS/CSRF hardening audit</t>
  </si>
  <si>
    <t xml:space="preserve">E2E + a11y pass — XSS/CSRF hardening audit</t>
  </si>
  <si>
    <t xml:space="preserve">Component/page build — CSP headers + SRI for external scripts</t>
  </si>
  <si>
    <t xml:space="preserve">State wiring + form validation — CSP headers + SRI for external scripts</t>
  </si>
  <si>
    <t xml:space="preserve">E2E + a11y pass — CSP headers + SRI for external scripts</t>
  </si>
  <si>
    <t xml:space="preserve">Schema/migration — DR runbook + full DR drill</t>
  </si>
  <si>
    <t xml:space="preserve">Implementation — DR runbook + full DR drill</t>
  </si>
  <si>
    <t xml:space="preserve">Unit + integration tests — DR runbook + full DR drill</t>
  </si>
  <si>
    <t xml:space="preserve">Test plan + cases — Load-test results + signoff report</t>
  </si>
  <si>
    <t xml:space="preserve">Automation scripts — Load-test results + signoff report</t>
  </si>
  <si>
    <t xml:space="preserve">Schema/migration — Pen-test fixes — critical severity</t>
  </si>
  <si>
    <t xml:space="preserve">Implementation — Pen-test fixes — critical severity</t>
  </si>
  <si>
    <t xml:space="preserve">Unit + integration tests — Pen-test fixes — critical severity</t>
  </si>
  <si>
    <t xml:space="preserve">Schema/migration — Pen-test fixes — major severity</t>
  </si>
  <si>
    <t xml:space="preserve">Implementation — Pen-test fixes — major severity</t>
  </si>
  <si>
    <t xml:space="preserve">Unit + integration tests — Pen-test fixes — major severity</t>
  </si>
  <si>
    <t xml:space="preserve">Schema/migration — Pen-test fixes — minor + hardening</t>
  </si>
  <si>
    <t xml:space="preserve">Implementation — Pen-test fixes — minor + hardening</t>
  </si>
  <si>
    <t xml:space="preserve">Unit + integration tests — Pen-test fixes — minor + hardening</t>
  </si>
  <si>
    <t xml:space="preserve">Schema/migration — Data migration script — employees</t>
  </si>
  <si>
    <t xml:space="preserve">Implementation — Data migration script — employees</t>
  </si>
  <si>
    <t xml:space="preserve">Unit + integration tests — Data migration script — employees</t>
  </si>
  <si>
    <t xml:space="preserve">Schema/migration — Data migration script — org structure + positions</t>
  </si>
  <si>
    <t xml:space="preserve">Implementation — Data migration script — org structure + positions</t>
  </si>
  <si>
    <t xml:space="preserve">Unit + integration tests — Data migration script — org structure + positions</t>
  </si>
  <si>
    <t xml:space="preserve">Schema/migration — Data migration script — contracts + documents</t>
  </si>
  <si>
    <t xml:space="preserve">Implementation — Data migration script — contracts + documents</t>
  </si>
  <si>
    <t xml:space="preserve">Unit + integration tests — Data migration script — contracts + documents</t>
  </si>
  <si>
    <t xml:space="preserve">Schema/migration — Data migration dry-run 1 (staging)</t>
  </si>
  <si>
    <t xml:space="preserve">Implementation — Data migration dry-run 1 (staging)</t>
  </si>
  <si>
    <t xml:space="preserve">Unit + integration tests — Data migration dry-run 1 (staging)</t>
  </si>
  <si>
    <t xml:space="preserve">Schema/migration — Data migration dry-run 2 (staging, post-fix)</t>
  </si>
  <si>
    <t xml:space="preserve">Implementation — Data migration dry-run 2 (staging, post-fix)</t>
  </si>
  <si>
    <t xml:space="preserve">Unit + integration tests — Data migration dry-run 2 (staging, post-fix)</t>
  </si>
  <si>
    <t xml:space="preserve">Test plan + cases — Pen-test fix verification</t>
  </si>
  <si>
    <t xml:space="preserve">Automation scripts — Pen-test fix verification</t>
  </si>
  <si>
    <t xml:space="preserve">Test plan + cases — Migration dry-run verification + checksums</t>
  </si>
  <si>
    <t xml:space="preserve">Automation scripts — Migration dry-run verification + checksums</t>
  </si>
  <si>
    <t xml:space="preserve">Research / draft — UAT scenarios drafted (happy + edge paths)</t>
  </si>
  <si>
    <t xml:space="preserve">Review + finalize — UAT scenarios drafted (happy + edge paths)</t>
  </si>
  <si>
    <t xml:space="preserve">Research / draft — UAT test data prepared (anonymized + seeded)</t>
  </si>
  <si>
    <t xml:space="preserve">Review + finalize — UAT test data prepared (anonymized + seeded)</t>
  </si>
  <si>
    <t xml:space="preserve">Research / draft — UAT stakeholder onboarding session</t>
  </si>
  <si>
    <t xml:space="preserve">Review + finalize — UAT stakeholder onboarding session</t>
  </si>
  <si>
    <t xml:space="preserve">Test plan + cases — UAT test plan (scoring rubric + defect flow)</t>
  </si>
  <si>
    <t xml:space="preserve">Automation scripts — UAT test plan (scoring rubric + defect flow)</t>
  </si>
  <si>
    <t xml:space="preserve">Test plan + cases — UAT environment smoke test + seeding</t>
  </si>
  <si>
    <t xml:space="preserve">Automation scripts — UAT environment smoke test + seeding</t>
  </si>
  <si>
    <t xml:space="preserve">Schema/migration — Hotfix pipeline + feature-flag framework</t>
  </si>
  <si>
    <t xml:space="preserve">Implementation — Hotfix pipeline + feature-flag framework</t>
  </si>
  <si>
    <t xml:space="preserve">Unit + integration tests — Hotfix pipeline + feature-flag framework</t>
  </si>
  <si>
    <t xml:space="preserve">Component/page build — In-app help + user guide content (embedded)</t>
  </si>
  <si>
    <t xml:space="preserve">State wiring + form validation — In-app help + user guide content (embedded)</t>
  </si>
  <si>
    <t xml:space="preserve">E2E + a11y pass — In-app help + user guide content (embedded)</t>
  </si>
  <si>
    <t xml:space="preserve">Schema/migration — Production environment hardening</t>
  </si>
  <si>
    <t xml:space="preserve">Implementation — Production environment hardening</t>
  </si>
  <si>
    <t xml:space="preserve">Unit + integration tests — Production environment hardening</t>
  </si>
  <si>
    <t xml:space="preserve">Test plan + cases — UAT round 1 — execution + defect intake</t>
  </si>
  <si>
    <t xml:space="preserve">Automation scripts — UAT round 1 — execution + defect intake</t>
  </si>
  <si>
    <t xml:space="preserve">Test plan + cases — UAT round 1 — defect triage + assignment</t>
  </si>
  <si>
    <t xml:space="preserve">Automation scripts — UAT round 1 — defect triage + assignment</t>
  </si>
  <si>
    <t xml:space="preserve">Schema/migration — UAT round 1 — fixes backlog burndown</t>
  </si>
  <si>
    <t xml:space="preserve">Implementation — UAT round 1 — fixes backlog burndown</t>
  </si>
  <si>
    <t xml:space="preserve">Unit + integration tests — UAT round 1 — fixes backlog burndown</t>
  </si>
  <si>
    <t xml:space="preserve">Component/page build — UAT round 1 — fixes backlog burndown</t>
  </si>
  <si>
    <t xml:space="preserve">State wiring + form validation — UAT round 1 — fixes backlog burndown</t>
  </si>
  <si>
    <t xml:space="preserve">E2E + a11y pass — UAT round 1 — fixes backlog burndown</t>
  </si>
  <si>
    <t xml:space="preserve">Research / draft — Stakeholder feedback synthesis + go/no-go R1</t>
  </si>
  <si>
    <t xml:space="preserve">Review + finalize — Stakeholder feedback synthesis + go/no-go R1</t>
  </si>
  <si>
    <t xml:space="preserve">Test plan + cases — UAT round 2 — execution + regression</t>
  </si>
  <si>
    <t xml:space="preserve">Automation scripts — UAT round 2 — execution + regression</t>
  </si>
  <si>
    <t xml:space="preserve">Schema/migration — UAT round 2 — fixes</t>
  </si>
  <si>
    <t xml:space="preserve">Implementation — UAT round 2 — fixes</t>
  </si>
  <si>
    <t xml:space="preserve">Unit + integration tests — UAT round 2 — fixes</t>
  </si>
  <si>
    <t xml:space="preserve">Component/page build — UAT round 2 — fixes</t>
  </si>
  <si>
    <t xml:space="preserve">State wiring + form validation — UAT round 2 — fixes</t>
  </si>
  <si>
    <t xml:space="preserve">E2E + a11y pass — UAT round 2 — fixes</t>
  </si>
  <si>
    <t xml:space="preserve">Research / draft — Training content — admin users (M10)</t>
  </si>
  <si>
    <t xml:space="preserve">Review + finalize — Training content — admin users (M10)</t>
  </si>
  <si>
    <t xml:space="preserve">Research / draft — Training content — end users (M1)</t>
  </si>
  <si>
    <t xml:space="preserve">Review + finalize — Training content — end users (M1)</t>
  </si>
  <si>
    <t xml:space="preserve">Figma build — Training visuals (screenshots + diagrams)</t>
  </si>
  <si>
    <t xml:space="preserve">Review + handoff — Training visuals (screenshots + diagrams)</t>
  </si>
  <si>
    <t xml:space="preserve">Test plan + cases — UAT round 3 — final regression + acceptance</t>
  </si>
  <si>
    <t xml:space="preserve">Automation scripts — UAT round 3 — final regression + acceptance</t>
  </si>
  <si>
    <t xml:space="preserve">Schema/migration — UAT round 3 — final fixes</t>
  </si>
  <si>
    <t xml:space="preserve">Implementation — UAT round 3 — final fixes</t>
  </si>
  <si>
    <t xml:space="preserve">Unit + integration tests — UAT round 3 — final fixes</t>
  </si>
  <si>
    <t xml:space="preserve">Component/page build — UAT round 3 — final fixes</t>
  </si>
  <si>
    <t xml:space="preserve">State wiring + form validation — UAT round 3 — final fixes</t>
  </si>
  <si>
    <t xml:space="preserve">E2E + a11y pass — UAT round 3 — final fixes</t>
  </si>
  <si>
    <t xml:space="preserve">Schema/migration — Cutover rehearsal 1 (staging-as-prod)</t>
  </si>
  <si>
    <t xml:space="preserve">Implementation — Cutover rehearsal 1 (staging-as-prod)</t>
  </si>
  <si>
    <t xml:space="preserve">Unit + integration tests — Cutover rehearsal 1 (staging-as-prod)</t>
  </si>
  <si>
    <t xml:space="preserve">Schema/migration — Cutover rehearsal 2 (full team)</t>
  </si>
  <si>
    <t xml:space="preserve">Implementation — Cutover rehearsal 2 (full team)</t>
  </si>
  <si>
    <t xml:space="preserve">Unit + integration tests — Cutover rehearsal 2 (full team)</t>
  </si>
  <si>
    <t xml:space="preserve">Test plan + cases — Final regression run + exit-criteria report</t>
  </si>
  <si>
    <t xml:space="preserve">Automation scripts — Final regression run + exit-criteria report</t>
  </si>
  <si>
    <t xml:space="preserve">Schema/migration — Last-mile fixes + production config freeze</t>
  </si>
  <si>
    <t xml:space="preserve">Implementation — Last-mile fixes + production config freeze</t>
  </si>
  <si>
    <t xml:space="preserve">Unit + integration tests — Last-mile fixes + production config freeze</t>
  </si>
  <si>
    <t xml:space="preserve">Component/page build — Last-mile fixes + production build verified</t>
  </si>
  <si>
    <t xml:space="preserve">State wiring + form validation — Last-mile fixes + production build verified</t>
  </si>
  <si>
    <t xml:space="preserve">E2E + a11y pass — Last-mile fixes + production build verified</t>
  </si>
  <si>
    <t xml:space="preserve">Schema/migration — Production deployment checklist</t>
  </si>
  <si>
    <t xml:space="preserve">Implementation — Production deployment checklist</t>
  </si>
  <si>
    <t xml:space="preserve">Unit + integration tests — Production deployment checklist</t>
  </si>
  <si>
    <t xml:space="preserve">Schema/migration — Rollback plan + rehearsal</t>
  </si>
  <si>
    <t xml:space="preserve">Implementation — Rollback plan + rehearsal</t>
  </si>
  <si>
    <t xml:space="preserve">Unit + integration tests — Rollback plan + rehearsal</t>
  </si>
  <si>
    <t xml:space="preserve">Research / draft — Go-live comms plan (internal + external)</t>
  </si>
  <si>
    <t xml:space="preserve">Review + finalize — Go-live comms plan (internal + external)</t>
  </si>
  <si>
    <t xml:space="preserve">Schema/migration — Production cutover — execute deployment</t>
  </si>
  <si>
    <t xml:space="preserve">Implementation — Production cutover — execute deployment</t>
  </si>
  <si>
    <t xml:space="preserve">Unit + integration tests — Production cutover — execute deployment</t>
  </si>
  <si>
    <t xml:space="preserve">Schema/migration — DNS + traffic cutover</t>
  </si>
  <si>
    <t xml:space="preserve">Implementation — DNS + traffic cutover</t>
  </si>
  <si>
    <t xml:space="preserve">Unit + integration tests — DNS + traffic cutover</t>
  </si>
  <si>
    <t xml:space="preserve">Test plan + cases — Post-cutover smoke tests (prod)</t>
  </si>
  <si>
    <t xml:space="preserve">Automation scripts — Post-cutover smoke tests (prod)</t>
  </si>
  <si>
    <t xml:space="preserve">Schema/migration — Day-1 hotfix support (on-call)</t>
  </si>
  <si>
    <t xml:space="preserve">Implementation — Day-1 hotfix support (on-call)</t>
  </si>
  <si>
    <t xml:space="preserve">Unit + integration tests — Day-1 hotfix support (on-call)</t>
  </si>
  <si>
    <t xml:space="preserve">Component/page build — Day-1 hotfix support (on-call)</t>
  </si>
  <si>
    <t xml:space="preserve">State wiring + form validation — Day-1 hotfix support (on-call)</t>
  </si>
  <si>
    <t xml:space="preserve">E2E + a11y pass — Day-1 hotfix support (on-call)</t>
  </si>
  <si>
    <t xml:space="preserve">Research / draft — Go-live retrospective (what went well / improve)</t>
  </si>
  <si>
    <t xml:space="preserve">Review + finalize — Go-live retrospective (what went well / improve)</t>
  </si>
  <si>
    <t xml:space="preserve">Workload — Story Points per person per sprint (formula-driven from Stories sheet)</t>
  </si>
  <si>
    <t xml:space="preserve">Formulas use SUMIFS on Stories sheet. Target: ≤14 SP per dev per sprint; DES ≤7 (50% FTE).</t>
  </si>
  <si>
    <t xml:space="preserve">Assignee / Sprint</t>
  </si>
  <si>
    <t xml:space="preserve">S0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</si>
  <si>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</si>
  <si>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</si>
  <si>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</si>
  <si>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</si>
  <si>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</si>
  <si>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</si>
  <si>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</si>
  <si>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</si>
  <si>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</si>
  <si>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</si>
  <si>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</si>
  <si>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</si>
  <si>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</si>
  <si>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</si>
  <si>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</si>
  <si>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S16</t>
  </si>
  <si>
    <t xml:space="preserve">S17</t>
  </si>
  <si>
    <t xml:space="preserve">S18</t>
  </si>
  <si>
    <t xml:space="preserve">S19</t>
  </si>
  <si>
    <t xml:space="preserve">S20</t>
  </si>
  <si>
    <t xml:space="preserve">S21</t>
  </si>
  <si>
    <t xml:space="preserve">S22</t>
  </si>
  <si>
    <t xml:space="preserve">Total</t>
  </si>
  <si>
    <t xml:space="preserve">TEAM TOTAL</t>
  </si>
  <si>
    <t xml:space="preserve">Bug log — Jira CSV-ready bug tracker (log defects here; bulk-import into PRX)</t>
  </si>
  <si>
    <t xml:space="preserve">Workflow: Open → Triaged → In Progress → In Review → Ready QA → Verified → Closed. SLA: P0 same-day · P1 within sprint · P2 next sprint · P3 quarterly · P4 backlog.</t>
  </si>
  <si>
    <t xml:space="preserve">Environment</t>
  </si>
  <si>
    <t xml:space="preserve">Steps to reproduce</t>
  </si>
  <si>
    <t xml:space="preserve">Expected</t>
  </si>
  <si>
    <t xml:space="preserve">Actual</t>
  </si>
  <si>
    <t xml:space="preserve">Severity</t>
  </si>
  <si>
    <t xml:space="preserve">Component</t>
  </si>
  <si>
    <t xml:space="preserve">Linked Story (Epic Link or Story key)</t>
  </si>
  <si>
    <t xml:space="preserve">Bug</t>
  </si>
  <si>
    <t xml:space="preserve">Capacity check — sprint-by-sprint utilisation vs target</t>
  </si>
  <si>
    <t xml:space="preserve">Planned SP = sum from Stories sheet. Capacity SP = Sprints sheet target. Utilisation = planned ÷ capacity. Target ≤95%. Over 100% = over-allocated.</t>
  </si>
  <si>
    <t xml:space="preserve">Goal</t>
  </si>
  <si>
    <t xml:space="preserve">Planned SP</t>
  </si>
  <si>
    <t xml:space="preserve">Capacity SP</t>
  </si>
  <si>
    <t xml:space="preserve">Utilisation %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</si>
</sst>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0"/>
    <numFmt numFmtId="167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B1437"/>
      <name val="Arial"/>
      <family val="0"/>
      <charset val="1"/>
    </font>
    <font>
      <sz val="10"/>
      <color rgb="FF6B7280"/>
      <name val="Arial"/>
      <family val="0"/>
      <charset val="1"/>
    </font>
    <font>
      <sz val="10"/>
      <color rgb="FF111827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B1437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B1437"/>
        <bgColor rgb="FF111827"/>
      </patternFill>
    </fill>
    <fill>
      <patternFill patternType="solid">
        <fgColor rgb="FFEEF2FF"/>
        <bgColor rgb="FFE5E7E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EF2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B1437"/>
      <rgbColor rgb="FF339966"/>
      <rgbColor rgb="FF111827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8" min="2" style="0" width="2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8" hidden="false" customHeight="true" outlineLevel="0" collapsed="false">
      <c r="A4" s="3"/>
      <c r="B4" s="4"/>
      <c r="C4" s="4"/>
      <c r="D4" s="4"/>
      <c r="E4" s="4"/>
      <c r="F4" s="4"/>
      <c r="G4" s="4"/>
      <c r="H4" s="4"/>
    </row>
    <row r="5" customFormat="false" ht="18" hidden="false" customHeight="true" outlineLevel="0" collapsed="false">
      <c r="A5" s="3" t="s">
        <v>2</v>
      </c>
      <c r="B5" s="4"/>
      <c r="C5" s="4"/>
      <c r="D5" s="4"/>
      <c r="E5" s="4"/>
      <c r="F5" s="4"/>
      <c r="G5" s="4"/>
      <c r="H5" s="4"/>
    </row>
    <row r="6" customFormat="false" ht="18" hidden="false" customHeight="true" outlineLevel="0" collapsed="false">
      <c r="A6" s="5" t="s">
        <v>3</v>
      </c>
      <c r="B6" s="4" t="s">
        <v>4</v>
      </c>
      <c r="C6" s="4"/>
      <c r="D6" s="4"/>
      <c r="E6" s="4"/>
      <c r="F6" s="4"/>
      <c r="G6" s="4"/>
      <c r="H6" s="4"/>
    </row>
    <row r="7" customFormat="false" ht="30" hidden="false" customHeight="true" outlineLevel="0" collapsed="false">
      <c r="A7" s="5" t="s">
        <v>5</v>
      </c>
      <c r="B7" s="4" t="s">
        <v>6</v>
      </c>
      <c r="C7" s="4"/>
      <c r="D7" s="4"/>
      <c r="E7" s="4"/>
      <c r="F7" s="4"/>
      <c r="G7" s="4"/>
      <c r="H7" s="4"/>
    </row>
    <row r="8" customFormat="false" ht="30" hidden="false" customHeight="true" outlineLevel="0" collapsed="false">
      <c r="A8" s="5" t="s">
        <v>7</v>
      </c>
      <c r="B8" s="4" t="s">
        <v>8</v>
      </c>
      <c r="C8" s="4"/>
      <c r="D8" s="4"/>
      <c r="E8" s="4"/>
      <c r="F8" s="4"/>
      <c r="G8" s="4"/>
      <c r="H8" s="4"/>
    </row>
    <row r="9" customFormat="false" ht="30" hidden="false" customHeight="true" outlineLevel="0" collapsed="false">
      <c r="A9" s="5" t="s">
        <v>9</v>
      </c>
      <c r="B9" s="4" t="s">
        <v>10</v>
      </c>
      <c r="C9" s="4"/>
      <c r="D9" s="4"/>
      <c r="E9" s="4"/>
      <c r="F9" s="4"/>
      <c r="G9" s="4"/>
      <c r="H9" s="4"/>
    </row>
    <row r="10" customFormat="false" ht="30" hidden="false" customHeight="true" outlineLevel="0" collapsed="false">
      <c r="A10" s="5" t="s">
        <v>11</v>
      </c>
      <c r="B10" s="4" t="s">
        <v>12</v>
      </c>
      <c r="C10" s="4"/>
      <c r="D10" s="4"/>
      <c r="E10" s="4"/>
      <c r="F10" s="4"/>
      <c r="G10" s="4"/>
      <c r="H10" s="4"/>
    </row>
    <row r="11" customFormat="false" ht="18" hidden="false" customHeight="true" outlineLevel="0" collapsed="false">
      <c r="A11" s="5" t="s">
        <v>13</v>
      </c>
      <c r="B11" s="4" t="s">
        <v>14</v>
      </c>
      <c r="C11" s="4"/>
      <c r="D11" s="4"/>
      <c r="E11" s="4"/>
      <c r="F11" s="4"/>
      <c r="G11" s="4"/>
      <c r="H11" s="4"/>
    </row>
    <row r="12" customFormat="false" ht="30" hidden="false" customHeight="true" outlineLevel="0" collapsed="false">
      <c r="A12" s="5" t="s">
        <v>15</v>
      </c>
      <c r="B12" s="4" t="s">
        <v>16</v>
      </c>
      <c r="C12" s="4"/>
      <c r="D12" s="4"/>
      <c r="E12" s="4"/>
      <c r="F12" s="4"/>
      <c r="G12" s="4"/>
      <c r="H12" s="4"/>
    </row>
    <row r="13" customFormat="false" ht="30" hidden="false" customHeight="true" outlineLevel="0" collapsed="false">
      <c r="A13" s="5" t="s">
        <v>17</v>
      </c>
      <c r="B13" s="4" t="s">
        <v>18</v>
      </c>
      <c r="C13" s="4"/>
      <c r="D13" s="4"/>
      <c r="E13" s="4"/>
      <c r="F13" s="4"/>
      <c r="G13" s="4"/>
      <c r="H13" s="4"/>
    </row>
    <row r="14" customFormat="false" ht="18" hidden="false" customHeight="true" outlineLevel="0" collapsed="false">
      <c r="A14" s="3"/>
      <c r="B14" s="4"/>
      <c r="C14" s="4"/>
      <c r="D14" s="4"/>
      <c r="E14" s="4"/>
      <c r="F14" s="4"/>
      <c r="G14" s="4"/>
      <c r="H14" s="4"/>
    </row>
    <row r="15" customFormat="false" ht="18" hidden="false" customHeight="true" outlineLevel="0" collapsed="false">
      <c r="A15" s="3" t="s">
        <v>19</v>
      </c>
      <c r="B15" s="4"/>
      <c r="C15" s="4"/>
      <c r="D15" s="4"/>
      <c r="E15" s="4"/>
      <c r="F15" s="4"/>
      <c r="G15" s="4"/>
      <c r="H15" s="4"/>
    </row>
    <row r="16" customFormat="false" ht="18" hidden="false" customHeight="true" outlineLevel="0" collapsed="false">
      <c r="A16" s="5" t="s">
        <v>20</v>
      </c>
      <c r="B16" s="4" t="s">
        <v>21</v>
      </c>
      <c r="C16" s="4"/>
      <c r="D16" s="4"/>
      <c r="E16" s="4"/>
      <c r="F16" s="4"/>
      <c r="G16" s="4"/>
      <c r="H16" s="4"/>
    </row>
    <row r="17" customFormat="false" ht="18" hidden="false" customHeight="true" outlineLevel="0" collapsed="false">
      <c r="A17" s="5" t="s">
        <v>22</v>
      </c>
      <c r="B17" s="4" t="s">
        <v>23</v>
      </c>
      <c r="C17" s="4"/>
      <c r="D17" s="4"/>
      <c r="E17" s="4"/>
      <c r="F17" s="4"/>
      <c r="G17" s="4"/>
      <c r="H17" s="4"/>
    </row>
    <row r="18" customFormat="false" ht="18" hidden="false" customHeight="true" outlineLevel="0" collapsed="false">
      <c r="A18" s="5" t="s">
        <v>24</v>
      </c>
      <c r="B18" s="4" t="s">
        <v>25</v>
      </c>
      <c r="C18" s="4"/>
      <c r="D18" s="4"/>
      <c r="E18" s="4"/>
      <c r="F18" s="4"/>
      <c r="G18" s="4"/>
      <c r="H18" s="4"/>
    </row>
    <row r="19" customFormat="false" ht="30" hidden="false" customHeight="true" outlineLevel="0" collapsed="false">
      <c r="A19" s="5" t="s">
        <v>26</v>
      </c>
      <c r="B19" s="4" t="s">
        <v>27</v>
      </c>
      <c r="C19" s="4"/>
      <c r="D19" s="4"/>
      <c r="E19" s="4"/>
      <c r="F19" s="4"/>
      <c r="G19" s="4"/>
      <c r="H19" s="4"/>
    </row>
    <row r="20" customFormat="false" ht="30" hidden="false" customHeight="true" outlineLevel="0" collapsed="false">
      <c r="A20" s="5" t="s">
        <v>28</v>
      </c>
      <c r="B20" s="4" t="s">
        <v>29</v>
      </c>
      <c r="C20" s="4"/>
      <c r="D20" s="4"/>
      <c r="E20" s="4"/>
      <c r="F20" s="4"/>
      <c r="G20" s="4"/>
      <c r="H20" s="4"/>
    </row>
    <row r="21" customFormat="false" ht="18" hidden="false" customHeight="true" outlineLevel="0" collapsed="false">
      <c r="A21" s="5" t="s">
        <v>30</v>
      </c>
      <c r="B21" s="4" t="s">
        <v>31</v>
      </c>
      <c r="C21" s="4"/>
      <c r="D21" s="4"/>
      <c r="E21" s="4"/>
      <c r="F21" s="4"/>
      <c r="G21" s="4"/>
      <c r="H21" s="4"/>
    </row>
    <row r="22" customFormat="false" ht="30" hidden="false" customHeight="true" outlineLevel="0" collapsed="false">
      <c r="A22" s="5" t="s">
        <v>32</v>
      </c>
      <c r="B22" s="4" t="s">
        <v>33</v>
      </c>
      <c r="C22" s="4"/>
      <c r="D22" s="4"/>
      <c r="E22" s="4"/>
      <c r="F22" s="4"/>
      <c r="G22" s="4"/>
      <c r="H22" s="4"/>
    </row>
    <row r="23" customFormat="false" ht="18" hidden="false" customHeight="true" outlineLevel="0" collapsed="false">
      <c r="A23" s="5" t="s">
        <v>34</v>
      </c>
      <c r="B23" s="4" t="s">
        <v>35</v>
      </c>
      <c r="C23" s="4"/>
      <c r="D23" s="4"/>
      <c r="E23" s="4"/>
      <c r="F23" s="4"/>
      <c r="G23" s="4"/>
      <c r="H23" s="4"/>
    </row>
    <row r="24" customFormat="false" ht="18" hidden="false" customHeight="true" outlineLevel="0" collapsed="false">
      <c r="A24" s="3"/>
      <c r="B24" s="4"/>
      <c r="C24" s="4"/>
      <c r="D24" s="4"/>
      <c r="E24" s="4"/>
      <c r="F24" s="4"/>
      <c r="G24" s="4"/>
      <c r="H24" s="4"/>
    </row>
    <row r="25" customFormat="false" ht="18" hidden="false" customHeight="true" outlineLevel="0" collapsed="false">
      <c r="A25" s="3" t="s">
        <v>36</v>
      </c>
      <c r="B25" s="4"/>
      <c r="C25" s="4"/>
      <c r="D25" s="4"/>
      <c r="E25" s="4"/>
      <c r="F25" s="4"/>
      <c r="G25" s="4"/>
      <c r="H25" s="4"/>
    </row>
    <row r="26" customFormat="false" ht="18" hidden="false" customHeight="true" outlineLevel="0" collapsed="false">
      <c r="A26" s="5" t="s">
        <v>37</v>
      </c>
      <c r="B26" s="4" t="s">
        <v>38</v>
      </c>
      <c r="C26" s="4"/>
      <c r="D26" s="4"/>
      <c r="E26" s="4"/>
      <c r="F26" s="4"/>
      <c r="G26" s="4"/>
      <c r="H26" s="4"/>
    </row>
    <row r="27" customFormat="false" ht="18" hidden="false" customHeight="true" outlineLevel="0" collapsed="false">
      <c r="A27" s="5" t="s">
        <v>39</v>
      </c>
      <c r="B27" s="4" t="s">
        <v>40</v>
      </c>
      <c r="C27" s="4"/>
      <c r="D27" s="4"/>
      <c r="E27" s="4"/>
      <c r="F27" s="4"/>
      <c r="G27" s="4"/>
      <c r="H27" s="4"/>
    </row>
    <row r="28" customFormat="false" ht="18" hidden="false" customHeight="true" outlineLevel="0" collapsed="false">
      <c r="A28" s="5" t="s">
        <v>41</v>
      </c>
      <c r="B28" s="4" t="s">
        <v>42</v>
      </c>
      <c r="C28" s="4"/>
      <c r="D28" s="4"/>
      <c r="E28" s="4"/>
      <c r="F28" s="4"/>
      <c r="G28" s="4"/>
      <c r="H28" s="4"/>
    </row>
    <row r="29" customFormat="false" ht="30" hidden="false" customHeight="true" outlineLevel="0" collapsed="false">
      <c r="A29" s="5" t="s">
        <v>43</v>
      </c>
      <c r="B29" s="4" t="s">
        <v>44</v>
      </c>
      <c r="C29" s="4"/>
      <c r="D29" s="4"/>
      <c r="E29" s="4"/>
      <c r="F29" s="4"/>
      <c r="G29" s="4"/>
      <c r="H29" s="4"/>
    </row>
    <row r="30" customFormat="false" ht="18" hidden="false" customHeight="true" outlineLevel="0" collapsed="false">
      <c r="A30" s="5" t="s">
        <v>45</v>
      </c>
      <c r="B30" s="4" t="s">
        <v>46</v>
      </c>
      <c r="C30" s="4"/>
      <c r="D30" s="4"/>
      <c r="E30" s="4"/>
      <c r="F30" s="4"/>
      <c r="G30" s="4"/>
      <c r="H30" s="4"/>
    </row>
    <row r="31" customFormat="false" ht="30" hidden="false" customHeight="true" outlineLevel="0" collapsed="false">
      <c r="A31" s="5" t="s">
        <v>47</v>
      </c>
      <c r="B31" s="4" t="s">
        <v>48</v>
      </c>
      <c r="C31" s="4"/>
      <c r="D31" s="4"/>
      <c r="E31" s="4"/>
      <c r="F31" s="4"/>
      <c r="G31" s="4"/>
      <c r="H31" s="4"/>
    </row>
    <row r="32" customFormat="false" ht="18" hidden="false" customHeight="true" outlineLevel="0" collapsed="false">
      <c r="A32" s="5" t="s">
        <v>49</v>
      </c>
      <c r="B32" s="4" t="s">
        <v>50</v>
      </c>
      <c r="C32" s="4"/>
      <c r="D32" s="4"/>
      <c r="E32" s="4"/>
      <c r="F32" s="4"/>
      <c r="G32" s="4"/>
      <c r="H32" s="4"/>
    </row>
    <row r="33" customFormat="false" ht="30" hidden="false" customHeight="true" outlineLevel="0" collapsed="false">
      <c r="A33" s="5" t="s">
        <v>51</v>
      </c>
      <c r="B33" s="4" t="s">
        <v>52</v>
      </c>
      <c r="C33" s="4"/>
      <c r="D33" s="4"/>
      <c r="E33" s="4"/>
      <c r="F33" s="4"/>
      <c r="G33" s="4"/>
      <c r="H33" s="4"/>
    </row>
    <row r="34" customFormat="false" ht="18" hidden="false" customHeight="true" outlineLevel="0" collapsed="false">
      <c r="A34" s="5" t="s">
        <v>53</v>
      </c>
      <c r="B34" s="4" t="s">
        <v>54</v>
      </c>
      <c r="C34" s="4"/>
      <c r="D34" s="4"/>
      <c r="E34" s="4"/>
      <c r="F34" s="4"/>
      <c r="G34" s="4"/>
      <c r="H34" s="4"/>
    </row>
    <row r="35" customFormat="false" ht="18" hidden="false" customHeight="true" outlineLevel="0" collapsed="false">
      <c r="A35" s="5" t="s">
        <v>55</v>
      </c>
      <c r="B35" s="4" t="s">
        <v>56</v>
      </c>
      <c r="C35" s="4"/>
      <c r="D35" s="4"/>
      <c r="E35" s="4"/>
      <c r="F35" s="4"/>
      <c r="G35" s="4"/>
      <c r="H35" s="4"/>
    </row>
    <row r="36" customFormat="false" ht="18" hidden="false" customHeight="true" outlineLevel="0" collapsed="false">
      <c r="A36" s="3"/>
      <c r="B36" s="4"/>
      <c r="C36" s="4"/>
      <c r="D36" s="4"/>
      <c r="E36" s="4"/>
      <c r="F36" s="4"/>
      <c r="G36" s="4"/>
      <c r="H36" s="4"/>
    </row>
    <row r="37" customFormat="false" ht="18" hidden="false" customHeight="true" outlineLevel="0" collapsed="false">
      <c r="A37" s="3" t="s">
        <v>57</v>
      </c>
      <c r="B37" s="4"/>
      <c r="C37" s="4"/>
      <c r="D37" s="4"/>
      <c r="E37" s="4"/>
      <c r="F37" s="4"/>
      <c r="G37" s="4"/>
      <c r="H37" s="4"/>
    </row>
    <row r="38" customFormat="false" ht="30" hidden="false" customHeight="true" outlineLevel="0" collapsed="false">
      <c r="A38" s="5" t="s">
        <v>58</v>
      </c>
      <c r="B38" s="4" t="s">
        <v>59</v>
      </c>
      <c r="C38" s="4"/>
      <c r="D38" s="4"/>
      <c r="E38" s="4"/>
      <c r="F38" s="4"/>
      <c r="G38" s="4"/>
      <c r="H38" s="4"/>
    </row>
    <row r="39" customFormat="false" ht="30" hidden="false" customHeight="true" outlineLevel="0" collapsed="false">
      <c r="A39" s="5" t="s">
        <v>60</v>
      </c>
      <c r="B39" s="4" t="s">
        <v>61</v>
      </c>
      <c r="C39" s="4"/>
      <c r="D39" s="4"/>
      <c r="E39" s="4"/>
      <c r="F39" s="4"/>
      <c r="G39" s="4"/>
      <c r="H39" s="4"/>
    </row>
    <row r="40" customFormat="false" ht="18" hidden="false" customHeight="true" outlineLevel="0" collapsed="false">
      <c r="A40" s="5" t="s">
        <v>62</v>
      </c>
      <c r="B40" s="4" t="s">
        <v>63</v>
      </c>
      <c r="C40" s="4"/>
      <c r="D40" s="4"/>
      <c r="E40" s="4"/>
      <c r="F40" s="4"/>
      <c r="G40" s="4"/>
      <c r="H40" s="4"/>
    </row>
    <row r="41" customFormat="false" ht="30" hidden="false" customHeight="true" outlineLevel="0" collapsed="false">
      <c r="A41" s="5" t="s">
        <v>64</v>
      </c>
      <c r="B41" s="4" t="s">
        <v>65</v>
      </c>
      <c r="C41" s="4"/>
      <c r="D41" s="4"/>
      <c r="E41" s="4"/>
      <c r="F41" s="4"/>
      <c r="G41" s="4"/>
      <c r="H41" s="4"/>
    </row>
    <row r="42" customFormat="false" ht="18" hidden="false" customHeight="true" outlineLevel="0" collapsed="false">
      <c r="A42" s="3"/>
      <c r="B42" s="4"/>
      <c r="C42" s="4"/>
      <c r="D42" s="4"/>
      <c r="E42" s="4"/>
      <c r="F42" s="4"/>
      <c r="G42" s="4"/>
      <c r="H42" s="4"/>
    </row>
    <row r="43" customFormat="false" ht="18" hidden="false" customHeight="true" outlineLevel="0" collapsed="false">
      <c r="A43" s="3" t="s">
        <v>66</v>
      </c>
      <c r="B43" s="4"/>
      <c r="C43" s="4"/>
      <c r="D43" s="4"/>
      <c r="E43" s="4"/>
      <c r="F43" s="4"/>
      <c r="G43" s="4"/>
      <c r="H43" s="4"/>
    </row>
    <row r="44" customFormat="false" ht="18" hidden="false" customHeight="true" outlineLevel="0" collapsed="false">
      <c r="A44" s="3" t="s">
        <v>67</v>
      </c>
      <c r="B44" s="4"/>
      <c r="C44" s="4"/>
      <c r="D44" s="4"/>
      <c r="E44" s="4"/>
      <c r="F44" s="4"/>
      <c r="G44" s="4"/>
      <c r="H44" s="4"/>
    </row>
    <row r="45" customFormat="false" ht="30" hidden="false" customHeight="true" outlineLevel="0" collapsed="false">
      <c r="A45" s="5" t="s">
        <v>68</v>
      </c>
      <c r="B45" s="4" t="s">
        <v>69</v>
      </c>
      <c r="C45" s="4"/>
      <c r="D45" s="4"/>
      <c r="E45" s="4"/>
      <c r="F45" s="4"/>
      <c r="G45" s="4"/>
      <c r="H45" s="4"/>
    </row>
    <row r="46" customFormat="false" ht="18" hidden="false" customHeight="true" outlineLevel="0" collapsed="false">
      <c r="A46" s="3"/>
      <c r="B46" s="4"/>
      <c r="C46" s="4"/>
      <c r="D46" s="4"/>
      <c r="E46" s="4"/>
      <c r="F46" s="4"/>
      <c r="G46" s="4"/>
      <c r="H46" s="4"/>
    </row>
    <row r="47" customFormat="false" ht="30" hidden="false" customHeight="true" outlineLevel="0" collapsed="false">
      <c r="A47" s="5" t="s">
        <v>70</v>
      </c>
      <c r="B47" s="4" t="s">
        <v>71</v>
      </c>
      <c r="C47" s="4"/>
      <c r="D47" s="4"/>
      <c r="E47" s="4"/>
      <c r="F47" s="4"/>
      <c r="G47" s="4"/>
      <c r="H47" s="4"/>
    </row>
    <row r="48" customFormat="false" ht="18" hidden="false" customHeight="true" outlineLevel="0" collapsed="false">
      <c r="A48" s="5" t="s">
        <v>72</v>
      </c>
      <c r="B48" s="4" t="s">
        <v>73</v>
      </c>
      <c r="C48" s="4"/>
      <c r="D48" s="4"/>
      <c r="E48" s="4"/>
      <c r="F48" s="4"/>
      <c r="G48" s="4"/>
      <c r="H48" s="4"/>
    </row>
    <row r="49" customFormat="false" ht="30" hidden="false" customHeight="true" outlineLevel="0" collapsed="false">
      <c r="A49" s="5" t="s">
        <v>74</v>
      </c>
      <c r="B49" s="4" t="s">
        <v>75</v>
      </c>
      <c r="C49" s="4"/>
      <c r="D49" s="4"/>
      <c r="E49" s="4"/>
      <c r="F49" s="4"/>
      <c r="G49" s="4"/>
      <c r="H49" s="4"/>
    </row>
    <row r="50" customFormat="false" ht="30" hidden="false" customHeight="true" outlineLevel="0" collapsed="false">
      <c r="A50" s="5" t="s">
        <v>76</v>
      </c>
      <c r="B50" s="4" t="s">
        <v>77</v>
      </c>
      <c r="C50" s="4"/>
      <c r="D50" s="4"/>
      <c r="E50" s="4"/>
      <c r="F50" s="4"/>
      <c r="G50" s="4"/>
      <c r="H50" s="4"/>
    </row>
  </sheetData>
  <mergeCells count="49">
    <mergeCell ref="A1:H1"/>
    <mergeCell ref="A2:H2"/>
    <mergeCell ref="B4:H4"/>
    <mergeCell ref="B5:H5"/>
    <mergeCell ref="B6:H6"/>
    <mergeCell ref="B7:H7"/>
    <mergeCell ref="B8:H8"/>
    <mergeCell ref="B9:H9"/>
    <mergeCell ref="B10:H10"/>
    <mergeCell ref="B11:H11"/>
    <mergeCell ref="B12:H12"/>
    <mergeCell ref="B13:H13"/>
    <mergeCell ref="B14:H14"/>
    <mergeCell ref="B15:H15"/>
    <mergeCell ref="B16:H16"/>
    <mergeCell ref="B17:H17"/>
    <mergeCell ref="B18:H18"/>
    <mergeCell ref="B19:H19"/>
    <mergeCell ref="B20:H20"/>
    <mergeCell ref="B21:H21"/>
    <mergeCell ref="B22:H22"/>
    <mergeCell ref="B23:H23"/>
    <mergeCell ref="B24:H24"/>
    <mergeCell ref="B25:H25"/>
    <mergeCell ref="B26:H26"/>
    <mergeCell ref="B27:H27"/>
    <mergeCell ref="B28:H28"/>
    <mergeCell ref="B29:H29"/>
    <mergeCell ref="B30:H30"/>
    <mergeCell ref="B31:H31"/>
    <mergeCell ref="B32:H32"/>
    <mergeCell ref="B33:H33"/>
    <mergeCell ref="B34:H34"/>
    <mergeCell ref="B35:H35"/>
    <mergeCell ref="B36:H36"/>
    <mergeCell ref="B37:H37"/>
    <mergeCell ref="B38:H38"/>
    <mergeCell ref="B39:H39"/>
    <mergeCell ref="B40:H40"/>
    <mergeCell ref="B41:H41"/>
    <mergeCell ref="B42:H42"/>
    <mergeCell ref="B43:H43"/>
    <mergeCell ref="B44:H44"/>
    <mergeCell ref="B45:H45"/>
    <mergeCell ref="B46:H46"/>
    <mergeCell ref="B47:H47"/>
    <mergeCell ref="B48:H48"/>
    <mergeCell ref="B49:H49"/>
    <mergeCell ref="B50:H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4" min="4" style="0" width="22"/>
    <col collapsed="false" customWidth="true" hidden="false" outlineLevel="0" max="5" min="5" style="0" width="60"/>
    <col collapsed="false" customWidth="true" hidden="false" outlineLevel="0" max="6" min="6" style="0" width="11"/>
    <col collapsed="false" customWidth="true" hidden="false" outlineLevel="0" max="7" min="7" style="0" width="22"/>
  </cols>
  <sheetData>
    <row r="1" customFormat="false" ht="27.75" hidden="false" customHeight="true" outlineLevel="0" collapsed="false">
      <c r="A1" s="1" t="s">
        <v>78</v>
      </c>
      <c r="B1" s="1"/>
      <c r="C1" s="1"/>
      <c r="D1" s="1"/>
      <c r="E1" s="1"/>
      <c r="F1" s="1"/>
      <c r="G1" s="1"/>
    </row>
    <row r="3" customFormat="false" ht="27.75" hidden="false" customHeight="true" outlineLevel="0" collapsed="false">
      <c r="A3" s="6" t="s">
        <v>79</v>
      </c>
      <c r="B3" s="6" t="s">
        <v>80</v>
      </c>
      <c r="C3" s="6" t="s">
        <v>81</v>
      </c>
      <c r="D3" s="6" t="s">
        <v>82</v>
      </c>
      <c r="E3" s="6" t="s">
        <v>83</v>
      </c>
      <c r="F3" s="6" t="s">
        <v>84</v>
      </c>
      <c r="G3" s="6" t="s">
        <v>85</v>
      </c>
    </row>
    <row r="4" customFormat="false" ht="23.85" hidden="false" customHeight="false" outlineLevel="0" collapsed="false">
      <c r="A4" s="7" t="s">
        <v>86</v>
      </c>
      <c r="B4" s="8" t="n">
        <v>46143</v>
      </c>
      <c r="C4" s="8" t="n">
        <v>46156</v>
      </c>
      <c r="D4" s="7" t="s">
        <v>87</v>
      </c>
      <c r="E4" s="7" t="s">
        <v>88</v>
      </c>
      <c r="F4" s="7" t="n">
        <v>20</v>
      </c>
      <c r="G4" s="7" t="s">
        <v>89</v>
      </c>
    </row>
    <row r="5" customFormat="false" ht="15" hidden="false" customHeight="false" outlineLevel="0" collapsed="false">
      <c r="A5" s="7" t="s">
        <v>90</v>
      </c>
      <c r="B5" s="8" t="n">
        <v>46157</v>
      </c>
      <c r="C5" s="8" t="n">
        <v>46170</v>
      </c>
      <c r="D5" s="7" t="s">
        <v>91</v>
      </c>
      <c r="E5" s="7" t="s">
        <v>92</v>
      </c>
      <c r="F5" s="7" t="n">
        <v>35</v>
      </c>
      <c r="G5" s="7" t="s">
        <v>89</v>
      </c>
    </row>
    <row r="6" customFormat="false" ht="15" hidden="false" customHeight="false" outlineLevel="0" collapsed="false">
      <c r="A6" s="7" t="s">
        <v>93</v>
      </c>
      <c r="B6" s="8" t="n">
        <v>46171</v>
      </c>
      <c r="C6" s="8" t="n">
        <v>46184</v>
      </c>
      <c r="D6" s="7" t="s">
        <v>91</v>
      </c>
      <c r="E6" s="7" t="s">
        <v>94</v>
      </c>
      <c r="F6" s="7" t="n">
        <v>45</v>
      </c>
      <c r="G6" s="7" t="s">
        <v>89</v>
      </c>
    </row>
    <row r="7" customFormat="false" ht="15" hidden="false" customHeight="false" outlineLevel="0" collapsed="false">
      <c r="A7" s="7" t="s">
        <v>95</v>
      </c>
      <c r="B7" s="8" t="n">
        <v>46185</v>
      </c>
      <c r="C7" s="8" t="n">
        <v>46198</v>
      </c>
      <c r="D7" s="7" t="s">
        <v>96</v>
      </c>
      <c r="E7" s="7" t="s">
        <v>97</v>
      </c>
      <c r="F7" s="7" t="n">
        <v>50</v>
      </c>
      <c r="G7" s="7" t="s">
        <v>89</v>
      </c>
    </row>
    <row r="8" customFormat="false" ht="15" hidden="false" customHeight="false" outlineLevel="0" collapsed="false">
      <c r="A8" s="7" t="s">
        <v>98</v>
      </c>
      <c r="B8" s="8" t="n">
        <v>46199</v>
      </c>
      <c r="C8" s="8" t="n">
        <v>46212</v>
      </c>
      <c r="D8" s="7" t="s">
        <v>99</v>
      </c>
      <c r="E8" s="7" t="s">
        <v>100</v>
      </c>
      <c r="F8" s="7" t="n">
        <v>56</v>
      </c>
      <c r="G8" s="7"/>
    </row>
    <row r="9" customFormat="false" ht="15" hidden="false" customHeight="false" outlineLevel="0" collapsed="false">
      <c r="A9" s="7" t="s">
        <v>101</v>
      </c>
      <c r="B9" s="8" t="n">
        <v>46213</v>
      </c>
      <c r="C9" s="8" t="n">
        <v>46226</v>
      </c>
      <c r="D9" s="7" t="s">
        <v>99</v>
      </c>
      <c r="E9" s="7" t="s">
        <v>102</v>
      </c>
      <c r="F9" s="7" t="n">
        <v>56</v>
      </c>
      <c r="G9" s="7"/>
    </row>
    <row r="10" customFormat="false" ht="15" hidden="false" customHeight="false" outlineLevel="0" collapsed="false">
      <c r="A10" s="7" t="s">
        <v>103</v>
      </c>
      <c r="B10" s="8" t="n">
        <v>46227</v>
      </c>
      <c r="C10" s="8" t="n">
        <v>46240</v>
      </c>
      <c r="D10" s="7" t="s">
        <v>104</v>
      </c>
      <c r="E10" s="7" t="s">
        <v>105</v>
      </c>
      <c r="F10" s="7" t="n">
        <v>56</v>
      </c>
      <c r="G10" s="7"/>
    </row>
    <row r="11" customFormat="false" ht="15" hidden="false" customHeight="false" outlineLevel="0" collapsed="false">
      <c r="A11" s="7" t="s">
        <v>106</v>
      </c>
      <c r="B11" s="8" t="n">
        <v>46241</v>
      </c>
      <c r="C11" s="8" t="n">
        <v>46254</v>
      </c>
      <c r="D11" s="7" t="s">
        <v>104</v>
      </c>
      <c r="E11" s="7" t="s">
        <v>107</v>
      </c>
      <c r="F11" s="7" t="n">
        <v>56</v>
      </c>
      <c r="G11" s="7"/>
    </row>
    <row r="12" customFormat="false" ht="15" hidden="false" customHeight="false" outlineLevel="0" collapsed="false">
      <c r="A12" s="7" t="s">
        <v>108</v>
      </c>
      <c r="B12" s="8" t="n">
        <v>46255</v>
      </c>
      <c r="C12" s="8" t="n">
        <v>46268</v>
      </c>
      <c r="D12" s="7" t="s">
        <v>104</v>
      </c>
      <c r="E12" s="7" t="s">
        <v>109</v>
      </c>
      <c r="F12" s="7" t="n">
        <v>56</v>
      </c>
      <c r="G12" s="7"/>
    </row>
    <row r="13" customFormat="false" ht="15" hidden="false" customHeight="false" outlineLevel="0" collapsed="false">
      <c r="A13" s="7" t="s">
        <v>110</v>
      </c>
      <c r="B13" s="8" t="n">
        <v>46269</v>
      </c>
      <c r="C13" s="8" t="n">
        <v>46282</v>
      </c>
      <c r="D13" s="7" t="s">
        <v>104</v>
      </c>
      <c r="E13" s="7" t="s">
        <v>111</v>
      </c>
      <c r="F13" s="7" t="n">
        <v>56</v>
      </c>
      <c r="G13" s="7"/>
    </row>
    <row r="14" customFormat="false" ht="15" hidden="false" customHeight="false" outlineLevel="0" collapsed="false">
      <c r="A14" s="7" t="s">
        <v>112</v>
      </c>
      <c r="B14" s="8" t="n">
        <v>46283</v>
      </c>
      <c r="C14" s="8" t="n">
        <v>46296</v>
      </c>
      <c r="D14" s="7" t="s">
        <v>113</v>
      </c>
      <c r="E14" s="7" t="s">
        <v>114</v>
      </c>
      <c r="F14" s="7" t="n">
        <v>56</v>
      </c>
      <c r="G14" s="7"/>
    </row>
    <row r="15" customFormat="false" ht="15" hidden="false" customHeight="false" outlineLevel="0" collapsed="false">
      <c r="A15" s="7" t="s">
        <v>115</v>
      </c>
      <c r="B15" s="8" t="n">
        <v>46297</v>
      </c>
      <c r="C15" s="8" t="n">
        <v>46310</v>
      </c>
      <c r="D15" s="7" t="s">
        <v>116</v>
      </c>
      <c r="E15" s="7" t="s">
        <v>117</v>
      </c>
      <c r="F15" s="7" t="n">
        <v>56</v>
      </c>
      <c r="G15" s="7"/>
    </row>
    <row r="16" customFormat="false" ht="15" hidden="false" customHeight="false" outlineLevel="0" collapsed="false">
      <c r="A16" s="7" t="s">
        <v>118</v>
      </c>
      <c r="B16" s="8" t="n">
        <v>46311</v>
      </c>
      <c r="C16" s="8" t="n">
        <v>46324</v>
      </c>
      <c r="D16" s="7" t="s">
        <v>116</v>
      </c>
      <c r="E16" s="7" t="s">
        <v>119</v>
      </c>
      <c r="F16" s="7" t="n">
        <v>56</v>
      </c>
      <c r="G16" s="7"/>
    </row>
    <row r="17" customFormat="false" ht="15" hidden="false" customHeight="false" outlineLevel="0" collapsed="false">
      <c r="A17" s="7" t="s">
        <v>120</v>
      </c>
      <c r="B17" s="8" t="n">
        <v>46325</v>
      </c>
      <c r="C17" s="8" t="n">
        <v>46338</v>
      </c>
      <c r="D17" s="7" t="s">
        <v>116</v>
      </c>
      <c r="E17" s="7" t="s">
        <v>121</v>
      </c>
      <c r="F17" s="7" t="n">
        <v>56</v>
      </c>
      <c r="G17" s="7"/>
    </row>
    <row r="18" customFormat="false" ht="15" hidden="false" customHeight="false" outlineLevel="0" collapsed="false">
      <c r="A18" s="7" t="s">
        <v>122</v>
      </c>
      <c r="B18" s="8" t="n">
        <v>46339</v>
      </c>
      <c r="C18" s="8" t="n">
        <v>46352</v>
      </c>
      <c r="D18" s="7" t="s">
        <v>123</v>
      </c>
      <c r="E18" s="7" t="s">
        <v>124</v>
      </c>
      <c r="F18" s="7" t="n">
        <v>56</v>
      </c>
      <c r="G18" s="7"/>
    </row>
    <row r="19" customFormat="false" ht="15" hidden="false" customHeight="false" outlineLevel="0" collapsed="false">
      <c r="A19" s="7" t="s">
        <v>125</v>
      </c>
      <c r="B19" s="8" t="n">
        <v>46353</v>
      </c>
      <c r="C19" s="8" t="n">
        <v>46366</v>
      </c>
      <c r="D19" s="7" t="s">
        <v>126</v>
      </c>
      <c r="E19" s="7" t="s">
        <v>127</v>
      </c>
      <c r="F19" s="7" t="n">
        <v>56</v>
      </c>
      <c r="G19" s="7"/>
    </row>
    <row r="20" customFormat="false" ht="15" hidden="false" customHeight="false" outlineLevel="0" collapsed="false">
      <c r="A20" s="7" t="s">
        <v>128</v>
      </c>
      <c r="B20" s="8" t="n">
        <v>46367</v>
      </c>
      <c r="C20" s="8" t="n">
        <v>46380</v>
      </c>
      <c r="D20" s="7" t="s">
        <v>126</v>
      </c>
      <c r="E20" s="7" t="s">
        <v>129</v>
      </c>
      <c r="F20" s="7" t="n">
        <v>56</v>
      </c>
      <c r="G20" s="7"/>
    </row>
    <row r="21" customFormat="false" ht="15" hidden="false" customHeight="false" outlineLevel="0" collapsed="false">
      <c r="A21" s="7" t="s">
        <v>130</v>
      </c>
      <c r="B21" s="8" t="n">
        <v>46381</v>
      </c>
      <c r="C21" s="8" t="n">
        <v>46394</v>
      </c>
      <c r="D21" s="7" t="s">
        <v>131</v>
      </c>
      <c r="E21" s="7" t="s">
        <v>132</v>
      </c>
      <c r="F21" s="7" t="n">
        <v>35</v>
      </c>
      <c r="G21" s="7" t="s">
        <v>133</v>
      </c>
    </row>
    <row r="22" customFormat="false" ht="15" hidden="false" customHeight="false" outlineLevel="0" collapsed="false">
      <c r="A22" s="7" t="s">
        <v>134</v>
      </c>
      <c r="B22" s="8" t="n">
        <v>46395</v>
      </c>
      <c r="C22" s="8" t="n">
        <v>46408</v>
      </c>
      <c r="D22" s="7" t="s">
        <v>135</v>
      </c>
      <c r="E22" s="7" t="s">
        <v>136</v>
      </c>
      <c r="F22" s="7" t="n">
        <v>56</v>
      </c>
      <c r="G22" s="7"/>
    </row>
    <row r="23" customFormat="false" ht="15" hidden="false" customHeight="false" outlineLevel="0" collapsed="false">
      <c r="A23" s="7" t="s">
        <v>137</v>
      </c>
      <c r="B23" s="8" t="n">
        <v>46409</v>
      </c>
      <c r="C23" s="8" t="n">
        <v>46422</v>
      </c>
      <c r="D23" s="7" t="s">
        <v>135</v>
      </c>
      <c r="E23" s="7" t="s">
        <v>138</v>
      </c>
      <c r="F23" s="7" t="n">
        <v>56</v>
      </c>
      <c r="G23" s="7"/>
    </row>
    <row r="24" customFormat="false" ht="15" hidden="false" customHeight="false" outlineLevel="0" collapsed="false">
      <c r="A24" s="7" t="s">
        <v>139</v>
      </c>
      <c r="B24" s="8" t="n">
        <v>46423</v>
      </c>
      <c r="C24" s="8" t="n">
        <v>46436</v>
      </c>
      <c r="D24" s="7" t="s">
        <v>135</v>
      </c>
      <c r="E24" s="7" t="s">
        <v>140</v>
      </c>
      <c r="F24" s="7" t="n">
        <v>56</v>
      </c>
      <c r="G24" s="7"/>
    </row>
    <row r="25" customFormat="false" ht="15" hidden="false" customHeight="false" outlineLevel="0" collapsed="false">
      <c r="A25" s="7" t="s">
        <v>141</v>
      </c>
      <c r="B25" s="8" t="n">
        <v>46437</v>
      </c>
      <c r="C25" s="8" t="n">
        <v>46450</v>
      </c>
      <c r="D25" s="7" t="s">
        <v>142</v>
      </c>
      <c r="E25" s="7" t="s">
        <v>143</v>
      </c>
      <c r="F25" s="7" t="n">
        <v>56</v>
      </c>
      <c r="G25" s="7"/>
    </row>
    <row r="26" customFormat="false" ht="15" hidden="false" customHeight="false" outlineLevel="0" collapsed="false">
      <c r="A26" s="9" t="s">
        <v>144</v>
      </c>
      <c r="B26" s="10" t="n">
        <v>46451</v>
      </c>
      <c r="C26" s="10" t="n">
        <v>46464</v>
      </c>
      <c r="D26" s="9" t="s">
        <v>145</v>
      </c>
      <c r="E26" s="9" t="s">
        <v>146</v>
      </c>
      <c r="F26" s="9" t="n">
        <v>56</v>
      </c>
      <c r="G26" s="9" t="s">
        <v>147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30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30"/>
  </cols>
  <sheetData>
    <row r="1" customFormat="false" ht="27.75" hidden="false" customHeight="true" outlineLevel="0" collapsed="false">
      <c r="A1" s="1" t="s">
        <v>148</v>
      </c>
      <c r="B1" s="1"/>
      <c r="C1" s="1"/>
      <c r="D1" s="1"/>
      <c r="E1" s="1"/>
      <c r="F1" s="1"/>
    </row>
    <row r="3" customFormat="false" ht="27.75" hidden="false" customHeight="true" outlineLevel="0" collapsed="false">
      <c r="A3" s="6" t="s">
        <v>149</v>
      </c>
      <c r="B3" s="6" t="s">
        <v>150</v>
      </c>
      <c r="C3" s="6" t="s">
        <v>151</v>
      </c>
      <c r="D3" s="6" t="s">
        <v>152</v>
      </c>
      <c r="E3" s="6" t="s">
        <v>153</v>
      </c>
      <c r="F3" s="6" t="s">
        <v>154</v>
      </c>
    </row>
    <row r="4" customFormat="false" ht="15" hidden="false" customHeight="false" outlineLevel="0" collapsed="false">
      <c r="A4" s="7" t="s">
        <v>155</v>
      </c>
      <c r="B4" s="7" t="s">
        <v>156</v>
      </c>
      <c r="C4" s="7" t="s">
        <v>157</v>
      </c>
      <c r="D4" s="7" t="s">
        <v>158</v>
      </c>
      <c r="E4" s="7" t="s">
        <v>159</v>
      </c>
      <c r="F4" s="7" t="s">
        <v>160</v>
      </c>
    </row>
    <row r="5" customFormat="false" ht="15" hidden="false" customHeight="false" outlineLevel="0" collapsed="false">
      <c r="A5" s="7" t="s">
        <v>161</v>
      </c>
      <c r="B5" s="7" t="s">
        <v>162</v>
      </c>
      <c r="C5" s="7" t="s">
        <v>163</v>
      </c>
      <c r="D5" s="7" t="s">
        <v>164</v>
      </c>
      <c r="E5" s="7" t="s">
        <v>165</v>
      </c>
      <c r="F5" s="7" t="s">
        <v>166</v>
      </c>
    </row>
    <row r="6" customFormat="false" ht="15" hidden="false" customHeight="false" outlineLevel="0" collapsed="false">
      <c r="A6" s="7" t="s">
        <v>167</v>
      </c>
      <c r="B6" s="7" t="s">
        <v>168</v>
      </c>
      <c r="C6" s="7" t="s">
        <v>169</v>
      </c>
      <c r="D6" s="7" t="s">
        <v>170</v>
      </c>
      <c r="E6" s="7" t="s">
        <v>171</v>
      </c>
      <c r="F6" s="7" t="s">
        <v>172</v>
      </c>
    </row>
    <row r="7" customFormat="false" ht="15" hidden="false" customHeight="false" outlineLevel="0" collapsed="false">
      <c r="A7" s="7" t="s">
        <v>173</v>
      </c>
      <c r="B7" s="7" t="s">
        <v>174</v>
      </c>
      <c r="C7" s="7" t="s">
        <v>169</v>
      </c>
      <c r="D7" s="7" t="s">
        <v>170</v>
      </c>
      <c r="E7" s="7" t="s">
        <v>171</v>
      </c>
      <c r="F7" s="7" t="s">
        <v>175</v>
      </c>
    </row>
    <row r="8" customFormat="false" ht="15" hidden="false" customHeight="false" outlineLevel="0" collapsed="false">
      <c r="A8" s="7" t="s">
        <v>176</v>
      </c>
      <c r="B8" s="7" t="s">
        <v>177</v>
      </c>
      <c r="C8" s="7" t="s">
        <v>178</v>
      </c>
      <c r="D8" s="7" t="s">
        <v>179</v>
      </c>
      <c r="E8" s="7" t="s">
        <v>171</v>
      </c>
      <c r="F8" s="7" t="s">
        <v>180</v>
      </c>
    </row>
    <row r="9" customFormat="false" ht="15" hidden="false" customHeight="false" outlineLevel="0" collapsed="false">
      <c r="A9" s="7" t="s">
        <v>181</v>
      </c>
      <c r="B9" s="7" t="s">
        <v>182</v>
      </c>
      <c r="C9" s="7" t="s">
        <v>178</v>
      </c>
      <c r="D9" s="7" t="s">
        <v>179</v>
      </c>
      <c r="E9" s="7" t="s">
        <v>171</v>
      </c>
      <c r="F9" s="7" t="s">
        <v>183</v>
      </c>
    </row>
    <row r="10" customFormat="false" ht="15" hidden="false" customHeight="false" outlineLevel="0" collapsed="false">
      <c r="A10" s="7" t="s">
        <v>184</v>
      </c>
      <c r="B10" s="7" t="s">
        <v>185</v>
      </c>
      <c r="C10" s="7" t="s">
        <v>186</v>
      </c>
      <c r="D10" s="7" t="s">
        <v>187</v>
      </c>
      <c r="E10" s="7" t="s">
        <v>171</v>
      </c>
      <c r="F10" s="7" t="s">
        <v>188</v>
      </c>
    </row>
    <row r="11" customFormat="false" ht="23.85" hidden="false" customHeight="false" outlineLevel="0" collapsed="false">
      <c r="A11" s="7" t="s">
        <v>189</v>
      </c>
      <c r="B11" s="7" t="s">
        <v>190</v>
      </c>
      <c r="C11" s="7" t="s">
        <v>191</v>
      </c>
      <c r="D11" s="7" t="s">
        <v>192</v>
      </c>
      <c r="E11" s="7" t="s">
        <v>193</v>
      </c>
      <c r="F11" s="7" t="s">
        <v>194</v>
      </c>
    </row>
    <row r="12" customFormat="false" ht="23.85" hidden="false" customHeight="false" outlineLevel="0" collapsed="false">
      <c r="D12" s="5" t="s">
        <v>195</v>
      </c>
      <c r="E12" s="11" t="n">
        <f aca="false">SUMIF(E4:E11,"&gt;0")</f>
        <v>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40"/>
    <col collapsed="false" customWidth="true" hidden="false" outlineLevel="0" max="4" min="4" style="0" width="70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30"/>
  </cols>
  <sheetData>
    <row r="1" customFormat="false" ht="27.75" hidden="false" customHeight="true" outlineLevel="0" collapsed="false">
      <c r="A1" s="1" t="s">
        <v>196</v>
      </c>
      <c r="B1" s="1"/>
      <c r="C1" s="1"/>
      <c r="D1" s="1"/>
      <c r="E1" s="1"/>
      <c r="F1" s="1"/>
      <c r="G1" s="1"/>
      <c r="H1" s="1"/>
    </row>
    <row r="3" customFormat="false" ht="27.75" hidden="false" customHeight="true" outlineLevel="0" collapsed="false">
      <c r="A3" s="6" t="s">
        <v>197</v>
      </c>
      <c r="B3" s="6" t="s">
        <v>198</v>
      </c>
      <c r="C3" s="6" t="s">
        <v>37</v>
      </c>
      <c r="D3" s="6" t="s">
        <v>39</v>
      </c>
      <c r="E3" s="6" t="s">
        <v>41</v>
      </c>
      <c r="F3" s="6" t="s">
        <v>43</v>
      </c>
      <c r="G3" s="6" t="s">
        <v>49</v>
      </c>
      <c r="H3" s="6" t="s">
        <v>51</v>
      </c>
    </row>
    <row r="4" customFormat="false" ht="42" hidden="false" customHeight="true" outlineLevel="0" collapsed="false">
      <c r="A4" s="7" t="s">
        <v>199</v>
      </c>
      <c r="B4" s="7" t="s">
        <v>200</v>
      </c>
      <c r="C4" s="7" t="s">
        <v>201</v>
      </c>
      <c r="D4" s="7" t="s">
        <v>202</v>
      </c>
      <c r="E4" s="7" t="s">
        <v>203</v>
      </c>
      <c r="F4" s="7" t="s">
        <v>204</v>
      </c>
      <c r="G4" s="7" t="s">
        <v>205</v>
      </c>
      <c r="H4" s="7" t="s">
        <v>206</v>
      </c>
    </row>
    <row r="5" customFormat="false" ht="42" hidden="false" customHeight="true" outlineLevel="0" collapsed="false">
      <c r="A5" s="7" t="s">
        <v>199</v>
      </c>
      <c r="B5" s="7" t="s">
        <v>207</v>
      </c>
      <c r="C5" s="7" t="s">
        <v>208</v>
      </c>
      <c r="D5" s="7" t="s">
        <v>209</v>
      </c>
      <c r="E5" s="7" t="s">
        <v>203</v>
      </c>
      <c r="F5" s="7" t="s">
        <v>210</v>
      </c>
      <c r="G5" s="7" t="s">
        <v>211</v>
      </c>
      <c r="H5" s="7" t="s">
        <v>212</v>
      </c>
    </row>
    <row r="6" customFormat="false" ht="42" hidden="false" customHeight="true" outlineLevel="0" collapsed="false">
      <c r="A6" s="7" t="s">
        <v>199</v>
      </c>
      <c r="B6" s="7" t="s">
        <v>213</v>
      </c>
      <c r="C6" s="7" t="s">
        <v>214</v>
      </c>
      <c r="D6" s="7" t="s">
        <v>215</v>
      </c>
      <c r="E6" s="7" t="s">
        <v>203</v>
      </c>
      <c r="F6" s="7" t="s">
        <v>210</v>
      </c>
      <c r="G6" s="7" t="s">
        <v>205</v>
      </c>
      <c r="H6" s="7" t="s">
        <v>206</v>
      </c>
    </row>
    <row r="7" customFormat="false" ht="42" hidden="false" customHeight="true" outlineLevel="0" collapsed="false">
      <c r="A7" s="7" t="s">
        <v>199</v>
      </c>
      <c r="B7" s="7" t="s">
        <v>216</v>
      </c>
      <c r="C7" s="7" t="s">
        <v>217</v>
      </c>
      <c r="D7" s="7" t="s">
        <v>218</v>
      </c>
      <c r="E7" s="7" t="s">
        <v>203</v>
      </c>
      <c r="F7" s="7" t="s">
        <v>210</v>
      </c>
      <c r="G7" s="7" t="s">
        <v>211</v>
      </c>
      <c r="H7" s="7" t="s">
        <v>212</v>
      </c>
    </row>
    <row r="8" customFormat="false" ht="42" hidden="false" customHeight="true" outlineLevel="0" collapsed="false">
      <c r="A8" s="7" t="s">
        <v>199</v>
      </c>
      <c r="B8" s="7" t="s">
        <v>219</v>
      </c>
      <c r="C8" s="7" t="s">
        <v>220</v>
      </c>
      <c r="D8" s="7" t="s">
        <v>221</v>
      </c>
      <c r="E8" s="7" t="s">
        <v>222</v>
      </c>
      <c r="F8" s="7" t="s">
        <v>210</v>
      </c>
      <c r="G8" s="7" t="s">
        <v>223</v>
      </c>
      <c r="H8" s="7" t="s">
        <v>212</v>
      </c>
    </row>
    <row r="9" customFormat="false" ht="42" hidden="false" customHeight="true" outlineLevel="0" collapsed="false">
      <c r="A9" s="7" t="s">
        <v>199</v>
      </c>
      <c r="B9" s="7" t="s">
        <v>224</v>
      </c>
      <c r="C9" s="7" t="s">
        <v>225</v>
      </c>
      <c r="D9" s="7" t="s">
        <v>226</v>
      </c>
      <c r="E9" s="7" t="s">
        <v>203</v>
      </c>
      <c r="F9" s="7" t="s">
        <v>210</v>
      </c>
      <c r="G9" s="7" t="s">
        <v>205</v>
      </c>
      <c r="H9" s="7" t="s">
        <v>227</v>
      </c>
    </row>
    <row r="10" customFormat="false" ht="42" hidden="false" customHeight="true" outlineLevel="0" collapsed="false">
      <c r="A10" s="7" t="s">
        <v>199</v>
      </c>
      <c r="B10" s="7" t="s">
        <v>228</v>
      </c>
      <c r="C10" s="7" t="s">
        <v>229</v>
      </c>
      <c r="D10" s="7" t="s">
        <v>230</v>
      </c>
      <c r="E10" s="7" t="s">
        <v>203</v>
      </c>
      <c r="F10" s="7" t="s">
        <v>231</v>
      </c>
      <c r="G10" s="7" t="s">
        <v>205</v>
      </c>
      <c r="H10" s="7" t="s">
        <v>187</v>
      </c>
    </row>
    <row r="11" customFormat="false" ht="42" hidden="false" customHeight="true" outlineLevel="0" collapsed="false">
      <c r="A11" s="7" t="s">
        <v>199</v>
      </c>
      <c r="B11" s="7" t="s">
        <v>232</v>
      </c>
      <c r="C11" s="7" t="s">
        <v>233</v>
      </c>
      <c r="D11" s="7" t="s">
        <v>234</v>
      </c>
      <c r="E11" s="7" t="s">
        <v>235</v>
      </c>
      <c r="F11" s="7" t="s">
        <v>210</v>
      </c>
      <c r="G11" s="7" t="s">
        <v>205</v>
      </c>
      <c r="H11" s="7" t="s">
        <v>206</v>
      </c>
    </row>
    <row r="12" customFormat="false" ht="42" hidden="false" customHeight="true" outlineLevel="0" collapsed="false">
      <c r="A12" s="7" t="s">
        <v>199</v>
      </c>
      <c r="B12" s="7" t="s">
        <v>236</v>
      </c>
      <c r="C12" s="7" t="s">
        <v>237</v>
      </c>
      <c r="D12" s="7" t="s">
        <v>238</v>
      </c>
      <c r="E12" s="7" t="s">
        <v>203</v>
      </c>
      <c r="F12" s="7" t="s">
        <v>231</v>
      </c>
      <c r="G12" s="7" t="s">
        <v>205</v>
      </c>
      <c r="H12" s="7" t="s">
        <v>239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0"/>
    <col collapsed="false" customWidth="true" hidden="false" outlineLevel="0" max="3" min="3" style="0" width="70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40"/>
    <col collapsed="false" customWidth="true" hidden="false" outlineLevel="0" max="8" min="8" style="0" width="18"/>
    <col collapsed="false" customWidth="true" hidden="false" outlineLevel="0" max="9" min="9" style="0" width="30"/>
    <col collapsed="false" customWidth="true" hidden="false" outlineLevel="0" max="11" min="10" style="0" width="12"/>
  </cols>
  <sheetData>
    <row r="1" customFormat="false" ht="27.75" hidden="false" customHeight="true" outlineLevel="0" collapsed="false">
      <c r="A1" s="1" t="s">
        <v>240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customFormat="false" ht="27.75" hidden="false" customHeight="true" outlineLevel="0" collapsed="false">
      <c r="A3" s="6" t="s">
        <v>197</v>
      </c>
      <c r="B3" s="6" t="s">
        <v>37</v>
      </c>
      <c r="C3" s="6" t="s">
        <v>39</v>
      </c>
      <c r="D3" s="6" t="s">
        <v>41</v>
      </c>
      <c r="E3" s="6" t="s">
        <v>241</v>
      </c>
      <c r="F3" s="6" t="s">
        <v>45</v>
      </c>
      <c r="G3" s="6" t="s">
        <v>47</v>
      </c>
      <c r="H3" s="6" t="s">
        <v>49</v>
      </c>
      <c r="I3" s="6" t="s">
        <v>51</v>
      </c>
      <c r="J3" s="6" t="s">
        <v>53</v>
      </c>
      <c r="K3" s="6" t="s">
        <v>242</v>
      </c>
    </row>
    <row r="4" customFormat="false" ht="39.75" hidden="false" customHeight="true" outlineLevel="0" collapsed="false">
      <c r="A4" s="7" t="s">
        <v>243</v>
      </c>
      <c r="B4" s="7" t="s">
        <v>244</v>
      </c>
      <c r="C4" s="7" t="s">
        <v>245</v>
      </c>
      <c r="D4" s="7" t="s">
        <v>203</v>
      </c>
      <c r="E4" s="7" t="s">
        <v>246</v>
      </c>
      <c r="F4" s="7" t="s">
        <v>200</v>
      </c>
      <c r="G4" s="7" t="s">
        <v>247</v>
      </c>
      <c r="H4" s="7" t="s">
        <v>205</v>
      </c>
      <c r="I4" s="7" t="s">
        <v>248</v>
      </c>
      <c r="J4" s="7" t="n">
        <v>5</v>
      </c>
      <c r="K4" s="7" t="s">
        <v>204</v>
      </c>
    </row>
    <row r="5" customFormat="false" ht="39.75" hidden="false" customHeight="true" outlineLevel="0" collapsed="false">
      <c r="A5" s="7" t="s">
        <v>243</v>
      </c>
      <c r="B5" s="7" t="s">
        <v>249</v>
      </c>
      <c r="C5" s="7" t="s">
        <v>250</v>
      </c>
      <c r="D5" s="7" t="s">
        <v>203</v>
      </c>
      <c r="E5" s="7" t="s">
        <v>251</v>
      </c>
      <c r="F5" s="7" t="s">
        <v>200</v>
      </c>
      <c r="G5" s="7" t="s">
        <v>247</v>
      </c>
      <c r="H5" s="7" t="s">
        <v>205</v>
      </c>
      <c r="I5" s="7" t="s">
        <v>248</v>
      </c>
      <c r="J5" s="7" t="n">
        <v>5</v>
      </c>
      <c r="K5" s="7" t="s">
        <v>204</v>
      </c>
    </row>
    <row r="6" customFormat="false" ht="39.75" hidden="false" customHeight="true" outlineLevel="0" collapsed="false">
      <c r="A6" s="7" t="s">
        <v>243</v>
      </c>
      <c r="B6" s="7" t="s">
        <v>252</v>
      </c>
      <c r="C6" s="7" t="s">
        <v>253</v>
      </c>
      <c r="D6" s="7" t="s">
        <v>203</v>
      </c>
      <c r="E6" s="7" t="s">
        <v>254</v>
      </c>
      <c r="F6" s="7" t="s">
        <v>200</v>
      </c>
      <c r="G6" s="7" t="s">
        <v>247</v>
      </c>
      <c r="H6" s="7" t="s">
        <v>205</v>
      </c>
      <c r="I6" s="7" t="s">
        <v>255</v>
      </c>
      <c r="J6" s="7" t="n">
        <v>3</v>
      </c>
      <c r="K6" s="7" t="s">
        <v>204</v>
      </c>
    </row>
    <row r="7" customFormat="false" ht="39.75" hidden="false" customHeight="true" outlineLevel="0" collapsed="false">
      <c r="A7" s="7" t="s">
        <v>243</v>
      </c>
      <c r="B7" s="7" t="s">
        <v>256</v>
      </c>
      <c r="C7" s="7" t="s">
        <v>257</v>
      </c>
      <c r="D7" s="7" t="s">
        <v>203</v>
      </c>
      <c r="E7" s="7" t="s">
        <v>258</v>
      </c>
      <c r="F7" s="7" t="s">
        <v>200</v>
      </c>
      <c r="G7" s="7" t="s">
        <v>247</v>
      </c>
      <c r="H7" s="7" t="s">
        <v>205</v>
      </c>
      <c r="I7" s="7" t="s">
        <v>259</v>
      </c>
      <c r="J7" s="7" t="n">
        <v>3</v>
      </c>
      <c r="K7" s="7" t="s">
        <v>204</v>
      </c>
    </row>
    <row r="8" customFormat="false" ht="39.75" hidden="false" customHeight="true" outlineLevel="0" collapsed="false">
      <c r="A8" s="7" t="s">
        <v>243</v>
      </c>
      <c r="B8" s="7" t="s">
        <v>260</v>
      </c>
      <c r="C8" s="7" t="s">
        <v>261</v>
      </c>
      <c r="D8" s="7" t="s">
        <v>203</v>
      </c>
      <c r="E8" s="7" t="s">
        <v>231</v>
      </c>
      <c r="F8" s="7" t="s">
        <v>200</v>
      </c>
      <c r="G8" s="7" t="s">
        <v>247</v>
      </c>
      <c r="H8" s="7" t="s">
        <v>205</v>
      </c>
      <c r="I8" s="7" t="s">
        <v>262</v>
      </c>
      <c r="J8" s="7" t="n">
        <v>2</v>
      </c>
      <c r="K8" s="7" t="s">
        <v>204</v>
      </c>
    </row>
    <row r="9" customFormat="false" ht="39.75" hidden="false" customHeight="true" outlineLevel="0" collapsed="false">
      <c r="A9" s="7" t="s">
        <v>243</v>
      </c>
      <c r="B9" s="7" t="s">
        <v>263</v>
      </c>
      <c r="C9" s="7" t="s">
        <v>264</v>
      </c>
      <c r="D9" s="7" t="s">
        <v>203</v>
      </c>
      <c r="E9" s="7" t="s">
        <v>246</v>
      </c>
      <c r="F9" s="7" t="s">
        <v>200</v>
      </c>
      <c r="G9" s="7" t="s">
        <v>247</v>
      </c>
      <c r="H9" s="7" t="s">
        <v>205</v>
      </c>
      <c r="I9" s="7" t="s">
        <v>248</v>
      </c>
      <c r="J9" s="7" t="n">
        <v>2</v>
      </c>
      <c r="K9" s="7" t="s">
        <v>204</v>
      </c>
    </row>
    <row r="10" customFormat="false" ht="39.75" hidden="false" customHeight="true" outlineLevel="0" collapsed="false">
      <c r="A10" s="7" t="s">
        <v>243</v>
      </c>
      <c r="B10" s="7" t="s">
        <v>265</v>
      </c>
      <c r="C10" s="7" t="s">
        <v>266</v>
      </c>
      <c r="D10" s="7" t="s">
        <v>203</v>
      </c>
      <c r="E10" s="7" t="s">
        <v>204</v>
      </c>
      <c r="F10" s="7" t="s">
        <v>207</v>
      </c>
      <c r="G10" s="7" t="s">
        <v>267</v>
      </c>
      <c r="H10" s="7" t="s">
        <v>211</v>
      </c>
      <c r="I10" s="7" t="s">
        <v>268</v>
      </c>
      <c r="J10" s="7" t="n">
        <v>3</v>
      </c>
      <c r="K10" s="7" t="s">
        <v>204</v>
      </c>
    </row>
    <row r="11" customFormat="false" ht="39.75" hidden="false" customHeight="true" outlineLevel="0" collapsed="false">
      <c r="A11" s="7" t="s">
        <v>243</v>
      </c>
      <c r="B11" s="7" t="s">
        <v>269</v>
      </c>
      <c r="C11" s="7" t="s">
        <v>270</v>
      </c>
      <c r="D11" s="7" t="s">
        <v>203</v>
      </c>
      <c r="E11" s="7" t="s">
        <v>204</v>
      </c>
      <c r="F11" s="7" t="s">
        <v>207</v>
      </c>
      <c r="G11" s="7" t="s">
        <v>267</v>
      </c>
      <c r="H11" s="7" t="s">
        <v>211</v>
      </c>
      <c r="I11" s="7" t="s">
        <v>268</v>
      </c>
      <c r="J11" s="7" t="n">
        <v>3</v>
      </c>
      <c r="K11" s="7" t="s">
        <v>204</v>
      </c>
    </row>
    <row r="12" customFormat="false" ht="39.75" hidden="false" customHeight="true" outlineLevel="0" collapsed="false">
      <c r="A12" s="7" t="s">
        <v>243</v>
      </c>
      <c r="B12" s="7" t="s">
        <v>271</v>
      </c>
      <c r="C12" s="7" t="s">
        <v>272</v>
      </c>
      <c r="D12" s="7" t="s">
        <v>203</v>
      </c>
      <c r="E12" s="7" t="s">
        <v>210</v>
      </c>
      <c r="F12" s="7" t="s">
        <v>207</v>
      </c>
      <c r="G12" s="7" t="s">
        <v>267</v>
      </c>
      <c r="H12" s="7" t="s">
        <v>205</v>
      </c>
      <c r="I12" s="7" t="s">
        <v>273</v>
      </c>
      <c r="J12" s="7" t="n">
        <v>3</v>
      </c>
      <c r="K12" s="7" t="s">
        <v>204</v>
      </c>
    </row>
    <row r="13" customFormat="false" ht="39.75" hidden="false" customHeight="true" outlineLevel="0" collapsed="false">
      <c r="A13" s="7" t="s">
        <v>243</v>
      </c>
      <c r="B13" s="7" t="s">
        <v>274</v>
      </c>
      <c r="C13" s="7" t="s">
        <v>275</v>
      </c>
      <c r="D13" s="7" t="s">
        <v>203</v>
      </c>
      <c r="E13" s="7" t="s">
        <v>210</v>
      </c>
      <c r="F13" s="7" t="s">
        <v>207</v>
      </c>
      <c r="G13" s="7" t="s">
        <v>267</v>
      </c>
      <c r="H13" s="7" t="s">
        <v>205</v>
      </c>
      <c r="I13" s="7" t="s">
        <v>273</v>
      </c>
      <c r="J13" s="7" t="n">
        <v>3</v>
      </c>
      <c r="K13" s="7" t="s">
        <v>204</v>
      </c>
    </row>
    <row r="14" customFormat="false" ht="39.75" hidden="false" customHeight="true" outlineLevel="0" collapsed="false">
      <c r="A14" s="7" t="s">
        <v>243</v>
      </c>
      <c r="B14" s="7" t="s">
        <v>276</v>
      </c>
      <c r="C14" s="7" t="s">
        <v>277</v>
      </c>
      <c r="D14" s="7" t="s">
        <v>203</v>
      </c>
      <c r="E14" s="7" t="s">
        <v>278</v>
      </c>
      <c r="F14" s="7" t="s">
        <v>207</v>
      </c>
      <c r="G14" s="7" t="s">
        <v>267</v>
      </c>
      <c r="H14" s="7" t="s">
        <v>211</v>
      </c>
      <c r="I14" s="7" t="s">
        <v>279</v>
      </c>
      <c r="J14" s="7" t="n">
        <v>5</v>
      </c>
      <c r="K14" s="7" t="s">
        <v>204</v>
      </c>
    </row>
    <row r="15" customFormat="false" ht="39.75" hidden="false" customHeight="true" outlineLevel="0" collapsed="false">
      <c r="A15" s="7" t="s">
        <v>243</v>
      </c>
      <c r="B15" s="7" t="s">
        <v>280</v>
      </c>
      <c r="C15" s="7" t="s">
        <v>281</v>
      </c>
      <c r="D15" s="7" t="s">
        <v>203</v>
      </c>
      <c r="E15" s="7" t="s">
        <v>246</v>
      </c>
      <c r="F15" s="7" t="s">
        <v>207</v>
      </c>
      <c r="G15" s="7" t="s">
        <v>267</v>
      </c>
      <c r="H15" s="7" t="s">
        <v>211</v>
      </c>
      <c r="I15" s="7" t="s">
        <v>282</v>
      </c>
      <c r="J15" s="7" t="n">
        <v>5</v>
      </c>
      <c r="K15" s="7" t="s">
        <v>204</v>
      </c>
    </row>
    <row r="16" customFormat="false" ht="39.75" hidden="false" customHeight="true" outlineLevel="0" collapsed="false">
      <c r="A16" s="7" t="s">
        <v>243</v>
      </c>
      <c r="B16" s="7" t="s">
        <v>283</v>
      </c>
      <c r="C16" s="7" t="s">
        <v>284</v>
      </c>
      <c r="D16" s="7" t="s">
        <v>203</v>
      </c>
      <c r="E16" s="7" t="s">
        <v>251</v>
      </c>
      <c r="F16" s="7" t="s">
        <v>207</v>
      </c>
      <c r="G16" s="7" t="s">
        <v>267</v>
      </c>
      <c r="H16" s="7" t="s">
        <v>211</v>
      </c>
      <c r="I16" s="7" t="s">
        <v>282</v>
      </c>
      <c r="J16" s="7" t="n">
        <v>5</v>
      </c>
      <c r="K16" s="7" t="s">
        <v>204</v>
      </c>
    </row>
    <row r="17" customFormat="false" ht="39.75" hidden="false" customHeight="true" outlineLevel="0" collapsed="false">
      <c r="A17" s="7" t="s">
        <v>243</v>
      </c>
      <c r="B17" s="7" t="s">
        <v>285</v>
      </c>
      <c r="C17" s="7" t="s">
        <v>286</v>
      </c>
      <c r="D17" s="7" t="s">
        <v>203</v>
      </c>
      <c r="E17" s="7" t="s">
        <v>231</v>
      </c>
      <c r="F17" s="7" t="s">
        <v>207</v>
      </c>
      <c r="G17" s="7" t="s">
        <v>267</v>
      </c>
      <c r="H17" s="7" t="s">
        <v>205</v>
      </c>
      <c r="I17" s="7" t="s">
        <v>287</v>
      </c>
      <c r="J17" s="7" t="n">
        <v>3</v>
      </c>
      <c r="K17" s="7" t="s">
        <v>204</v>
      </c>
    </row>
    <row r="18" customFormat="false" ht="39.75" hidden="false" customHeight="true" outlineLevel="0" collapsed="false">
      <c r="A18" s="7" t="s">
        <v>243</v>
      </c>
      <c r="B18" s="7" t="s">
        <v>288</v>
      </c>
      <c r="C18" s="7" t="s">
        <v>289</v>
      </c>
      <c r="D18" s="7" t="s">
        <v>203</v>
      </c>
      <c r="E18" s="7" t="s">
        <v>254</v>
      </c>
      <c r="F18" s="7" t="s">
        <v>207</v>
      </c>
      <c r="G18" s="7" t="s">
        <v>267</v>
      </c>
      <c r="H18" s="7" t="s">
        <v>205</v>
      </c>
      <c r="I18" s="7" t="s">
        <v>255</v>
      </c>
      <c r="J18" s="7" t="n">
        <v>3</v>
      </c>
      <c r="K18" s="7" t="s">
        <v>204</v>
      </c>
    </row>
    <row r="19" customFormat="false" ht="39.75" hidden="false" customHeight="true" outlineLevel="0" collapsed="false">
      <c r="A19" s="7" t="s">
        <v>243</v>
      </c>
      <c r="B19" s="7" t="s">
        <v>290</v>
      </c>
      <c r="C19" s="7" t="s">
        <v>291</v>
      </c>
      <c r="D19" s="7" t="s">
        <v>203</v>
      </c>
      <c r="E19" s="7" t="s">
        <v>278</v>
      </c>
      <c r="F19" s="7" t="s">
        <v>207</v>
      </c>
      <c r="G19" s="7" t="s">
        <v>267</v>
      </c>
      <c r="H19" s="7" t="s">
        <v>205</v>
      </c>
      <c r="I19" s="7" t="s">
        <v>292</v>
      </c>
      <c r="J19" s="7" t="n">
        <v>5</v>
      </c>
      <c r="K19" s="7" t="s">
        <v>204</v>
      </c>
    </row>
    <row r="20" customFormat="false" ht="39.75" hidden="false" customHeight="true" outlineLevel="0" collapsed="false">
      <c r="A20" s="7" t="s">
        <v>243</v>
      </c>
      <c r="B20" s="7" t="s">
        <v>293</v>
      </c>
      <c r="C20" s="7" t="s">
        <v>294</v>
      </c>
      <c r="D20" s="7" t="s">
        <v>203</v>
      </c>
      <c r="E20" s="7" t="s">
        <v>204</v>
      </c>
      <c r="F20" s="7" t="s">
        <v>207</v>
      </c>
      <c r="G20" s="7" t="s">
        <v>295</v>
      </c>
      <c r="H20" s="7" t="s">
        <v>211</v>
      </c>
      <c r="I20" s="7" t="s">
        <v>268</v>
      </c>
      <c r="J20" s="7" t="n">
        <v>3</v>
      </c>
      <c r="K20" s="7" t="s">
        <v>204</v>
      </c>
    </row>
    <row r="21" customFormat="false" ht="39.75" hidden="false" customHeight="true" outlineLevel="0" collapsed="false">
      <c r="A21" s="7" t="s">
        <v>243</v>
      </c>
      <c r="B21" s="7" t="s">
        <v>296</v>
      </c>
      <c r="C21" s="7" t="s">
        <v>297</v>
      </c>
      <c r="D21" s="7" t="s">
        <v>203</v>
      </c>
      <c r="E21" s="7" t="s">
        <v>204</v>
      </c>
      <c r="F21" s="7" t="s">
        <v>207</v>
      </c>
      <c r="G21" s="7" t="s">
        <v>295</v>
      </c>
      <c r="H21" s="7" t="s">
        <v>211</v>
      </c>
      <c r="I21" s="7" t="s">
        <v>268</v>
      </c>
      <c r="J21" s="7" t="n">
        <v>3</v>
      </c>
      <c r="K21" s="7" t="s">
        <v>204</v>
      </c>
    </row>
    <row r="22" customFormat="false" ht="39.75" hidden="false" customHeight="true" outlineLevel="0" collapsed="false">
      <c r="A22" s="7" t="s">
        <v>243</v>
      </c>
      <c r="B22" s="7" t="s">
        <v>298</v>
      </c>
      <c r="C22" s="7" t="s">
        <v>299</v>
      </c>
      <c r="D22" s="7" t="s">
        <v>203</v>
      </c>
      <c r="E22" s="7" t="s">
        <v>204</v>
      </c>
      <c r="F22" s="7" t="s">
        <v>207</v>
      </c>
      <c r="G22" s="7" t="s">
        <v>295</v>
      </c>
      <c r="H22" s="7" t="s">
        <v>223</v>
      </c>
      <c r="I22" s="7" t="s">
        <v>268</v>
      </c>
      <c r="J22" s="7" t="n">
        <v>3</v>
      </c>
      <c r="K22" s="7" t="s">
        <v>204</v>
      </c>
    </row>
    <row r="23" customFormat="false" ht="39.75" hidden="false" customHeight="true" outlineLevel="0" collapsed="false">
      <c r="A23" s="7" t="s">
        <v>243</v>
      </c>
      <c r="B23" s="7" t="s">
        <v>300</v>
      </c>
      <c r="C23" s="7" t="s">
        <v>301</v>
      </c>
      <c r="D23" s="7" t="s">
        <v>203</v>
      </c>
      <c r="E23" s="7" t="s">
        <v>246</v>
      </c>
      <c r="F23" s="7" t="s">
        <v>207</v>
      </c>
      <c r="G23" s="7" t="s">
        <v>295</v>
      </c>
      <c r="H23" s="7" t="s">
        <v>211</v>
      </c>
      <c r="I23" s="7" t="s">
        <v>282</v>
      </c>
      <c r="J23" s="7" t="n">
        <v>3</v>
      </c>
      <c r="K23" s="7" t="s">
        <v>204</v>
      </c>
    </row>
    <row r="24" customFormat="false" ht="39.75" hidden="false" customHeight="true" outlineLevel="0" collapsed="false">
      <c r="A24" s="7" t="s">
        <v>243</v>
      </c>
      <c r="B24" s="7" t="s">
        <v>302</v>
      </c>
      <c r="C24" s="7" t="s">
        <v>303</v>
      </c>
      <c r="D24" s="7" t="s">
        <v>203</v>
      </c>
      <c r="E24" s="7" t="s">
        <v>251</v>
      </c>
      <c r="F24" s="7" t="s">
        <v>207</v>
      </c>
      <c r="G24" s="7" t="s">
        <v>295</v>
      </c>
      <c r="H24" s="7" t="s">
        <v>211</v>
      </c>
      <c r="I24" s="7" t="s">
        <v>282</v>
      </c>
      <c r="J24" s="7" t="n">
        <v>3</v>
      </c>
      <c r="K24" s="7" t="s">
        <v>204</v>
      </c>
    </row>
    <row r="25" customFormat="false" ht="39.75" hidden="false" customHeight="true" outlineLevel="0" collapsed="false">
      <c r="A25" s="7" t="s">
        <v>243</v>
      </c>
      <c r="B25" s="7" t="s">
        <v>304</v>
      </c>
      <c r="C25" s="7" t="s">
        <v>305</v>
      </c>
      <c r="D25" s="7" t="s">
        <v>203</v>
      </c>
      <c r="E25" s="7" t="s">
        <v>210</v>
      </c>
      <c r="F25" s="7" t="s">
        <v>207</v>
      </c>
      <c r="G25" s="7" t="s">
        <v>295</v>
      </c>
      <c r="H25" s="7" t="s">
        <v>205</v>
      </c>
      <c r="I25" s="7" t="s">
        <v>273</v>
      </c>
      <c r="J25" s="7" t="n">
        <v>5</v>
      </c>
      <c r="K25" s="7" t="s">
        <v>204</v>
      </c>
    </row>
    <row r="26" customFormat="false" ht="39.75" hidden="false" customHeight="true" outlineLevel="0" collapsed="false">
      <c r="A26" s="7" t="s">
        <v>243</v>
      </c>
      <c r="B26" s="7" t="s">
        <v>306</v>
      </c>
      <c r="C26" s="7" t="s">
        <v>307</v>
      </c>
      <c r="D26" s="7" t="s">
        <v>203</v>
      </c>
      <c r="E26" s="7" t="s">
        <v>210</v>
      </c>
      <c r="F26" s="7" t="s">
        <v>207</v>
      </c>
      <c r="G26" s="7" t="s">
        <v>295</v>
      </c>
      <c r="H26" s="7" t="s">
        <v>205</v>
      </c>
      <c r="I26" s="7" t="s">
        <v>273</v>
      </c>
      <c r="J26" s="7" t="n">
        <v>3</v>
      </c>
      <c r="K26" s="7" t="s">
        <v>204</v>
      </c>
    </row>
    <row r="27" customFormat="false" ht="39.75" hidden="false" customHeight="true" outlineLevel="0" collapsed="false">
      <c r="A27" s="7" t="s">
        <v>243</v>
      </c>
      <c r="B27" s="7" t="s">
        <v>308</v>
      </c>
      <c r="C27" s="7" t="s">
        <v>309</v>
      </c>
      <c r="D27" s="7" t="s">
        <v>203</v>
      </c>
      <c r="E27" s="7" t="s">
        <v>278</v>
      </c>
      <c r="F27" s="7" t="s">
        <v>207</v>
      </c>
      <c r="G27" s="7" t="s">
        <v>295</v>
      </c>
      <c r="H27" s="7" t="s">
        <v>205</v>
      </c>
      <c r="I27" s="7" t="s">
        <v>292</v>
      </c>
      <c r="J27" s="7" t="n">
        <v>5</v>
      </c>
      <c r="K27" s="7" t="s">
        <v>204</v>
      </c>
    </row>
    <row r="28" customFormat="false" ht="39.75" hidden="false" customHeight="true" outlineLevel="0" collapsed="false">
      <c r="A28" s="7" t="s">
        <v>243</v>
      </c>
      <c r="B28" s="7" t="s">
        <v>310</v>
      </c>
      <c r="C28" s="7" t="s">
        <v>311</v>
      </c>
      <c r="D28" s="7" t="s">
        <v>203</v>
      </c>
      <c r="E28" s="7" t="s">
        <v>278</v>
      </c>
      <c r="F28" s="7" t="s">
        <v>207</v>
      </c>
      <c r="G28" s="7" t="s">
        <v>295</v>
      </c>
      <c r="H28" s="7" t="s">
        <v>205</v>
      </c>
      <c r="I28" s="7" t="s">
        <v>292</v>
      </c>
      <c r="J28" s="7" t="n">
        <v>5</v>
      </c>
      <c r="K28" s="7" t="s">
        <v>204</v>
      </c>
    </row>
    <row r="29" customFormat="false" ht="39.75" hidden="false" customHeight="true" outlineLevel="0" collapsed="false">
      <c r="A29" s="7" t="s">
        <v>243</v>
      </c>
      <c r="B29" s="7" t="s">
        <v>312</v>
      </c>
      <c r="C29" s="7" t="s">
        <v>313</v>
      </c>
      <c r="D29" s="7" t="s">
        <v>203</v>
      </c>
      <c r="E29" s="7" t="s">
        <v>278</v>
      </c>
      <c r="F29" s="7" t="s">
        <v>207</v>
      </c>
      <c r="G29" s="7" t="s">
        <v>295</v>
      </c>
      <c r="H29" s="7" t="s">
        <v>211</v>
      </c>
      <c r="I29" s="7" t="s">
        <v>279</v>
      </c>
      <c r="J29" s="7" t="n">
        <v>5</v>
      </c>
      <c r="K29" s="7" t="s">
        <v>204</v>
      </c>
    </row>
    <row r="30" customFormat="false" ht="39.75" hidden="false" customHeight="true" outlineLevel="0" collapsed="false">
      <c r="A30" s="7" t="s">
        <v>243</v>
      </c>
      <c r="B30" s="7" t="s">
        <v>314</v>
      </c>
      <c r="C30" s="7" t="s">
        <v>315</v>
      </c>
      <c r="D30" s="7" t="s">
        <v>203</v>
      </c>
      <c r="E30" s="7" t="s">
        <v>278</v>
      </c>
      <c r="F30" s="7" t="s">
        <v>207</v>
      </c>
      <c r="G30" s="7" t="s">
        <v>316</v>
      </c>
      <c r="H30" s="7" t="s">
        <v>211</v>
      </c>
      <c r="I30" s="7" t="s">
        <v>279</v>
      </c>
      <c r="J30" s="7" t="n">
        <v>5</v>
      </c>
      <c r="K30" s="7" t="s">
        <v>204</v>
      </c>
    </row>
    <row r="31" customFormat="false" ht="39.75" hidden="false" customHeight="true" outlineLevel="0" collapsed="false">
      <c r="A31" s="7" t="s">
        <v>243</v>
      </c>
      <c r="B31" s="7" t="s">
        <v>317</v>
      </c>
      <c r="C31" s="7" t="s">
        <v>318</v>
      </c>
      <c r="D31" s="7" t="s">
        <v>203</v>
      </c>
      <c r="E31" s="7" t="s">
        <v>278</v>
      </c>
      <c r="F31" s="7" t="s">
        <v>207</v>
      </c>
      <c r="G31" s="7" t="s">
        <v>316</v>
      </c>
      <c r="H31" s="7" t="s">
        <v>211</v>
      </c>
      <c r="I31" s="7" t="s">
        <v>279</v>
      </c>
      <c r="J31" s="7" t="n">
        <v>5</v>
      </c>
      <c r="K31" s="7" t="s">
        <v>204</v>
      </c>
    </row>
    <row r="32" customFormat="false" ht="39.75" hidden="false" customHeight="true" outlineLevel="0" collapsed="false">
      <c r="A32" s="7" t="s">
        <v>243</v>
      </c>
      <c r="B32" s="7" t="s">
        <v>319</v>
      </c>
      <c r="C32" s="7" t="s">
        <v>320</v>
      </c>
      <c r="D32" s="7" t="s">
        <v>203</v>
      </c>
      <c r="E32" s="7" t="s">
        <v>278</v>
      </c>
      <c r="F32" s="7" t="s">
        <v>207</v>
      </c>
      <c r="G32" s="7" t="s">
        <v>316</v>
      </c>
      <c r="H32" s="7" t="s">
        <v>211</v>
      </c>
      <c r="I32" s="7" t="s">
        <v>279</v>
      </c>
      <c r="J32" s="7" t="n">
        <v>5</v>
      </c>
      <c r="K32" s="7" t="s">
        <v>204</v>
      </c>
    </row>
    <row r="33" customFormat="false" ht="39.75" hidden="false" customHeight="true" outlineLevel="0" collapsed="false">
      <c r="A33" s="7" t="s">
        <v>243</v>
      </c>
      <c r="B33" s="7" t="s">
        <v>321</v>
      </c>
      <c r="C33" s="7" t="s">
        <v>322</v>
      </c>
      <c r="D33" s="7" t="s">
        <v>203</v>
      </c>
      <c r="E33" s="7" t="s">
        <v>278</v>
      </c>
      <c r="F33" s="7" t="s">
        <v>207</v>
      </c>
      <c r="G33" s="7" t="s">
        <v>323</v>
      </c>
      <c r="H33" s="7" t="s">
        <v>223</v>
      </c>
      <c r="I33" s="7" t="s">
        <v>279</v>
      </c>
      <c r="J33" s="7" t="n">
        <v>5</v>
      </c>
      <c r="K33" s="7" t="s">
        <v>204</v>
      </c>
    </row>
    <row r="34" customFormat="false" ht="39.75" hidden="false" customHeight="true" outlineLevel="0" collapsed="false">
      <c r="A34" s="7" t="s">
        <v>243</v>
      </c>
      <c r="B34" s="7" t="s">
        <v>324</v>
      </c>
      <c r="C34" s="7" t="s">
        <v>325</v>
      </c>
      <c r="D34" s="7" t="s">
        <v>203</v>
      </c>
      <c r="E34" s="7" t="s">
        <v>278</v>
      </c>
      <c r="F34" s="7" t="s">
        <v>207</v>
      </c>
      <c r="G34" s="7" t="s">
        <v>295</v>
      </c>
      <c r="H34" s="7" t="s">
        <v>205</v>
      </c>
      <c r="I34" s="7" t="s">
        <v>292</v>
      </c>
      <c r="J34" s="7" t="n">
        <v>5</v>
      </c>
      <c r="K34" s="7" t="s">
        <v>204</v>
      </c>
    </row>
    <row r="35" customFormat="false" ht="39.75" hidden="false" customHeight="true" outlineLevel="0" collapsed="false">
      <c r="A35" s="7" t="s">
        <v>243</v>
      </c>
      <c r="B35" s="7" t="s">
        <v>326</v>
      </c>
      <c r="C35" s="7" t="s">
        <v>327</v>
      </c>
      <c r="D35" s="7" t="s">
        <v>203</v>
      </c>
      <c r="E35" s="7" t="s">
        <v>231</v>
      </c>
      <c r="F35" s="7" t="s">
        <v>207</v>
      </c>
      <c r="G35" s="7" t="s">
        <v>316</v>
      </c>
      <c r="H35" s="7" t="s">
        <v>205</v>
      </c>
      <c r="I35" s="7" t="s">
        <v>262</v>
      </c>
      <c r="J35" s="7" t="n">
        <v>3</v>
      </c>
      <c r="K35" s="7" t="s">
        <v>204</v>
      </c>
    </row>
    <row r="36" customFormat="false" ht="39.75" hidden="false" customHeight="true" outlineLevel="0" collapsed="false">
      <c r="A36" s="7" t="s">
        <v>243</v>
      </c>
      <c r="B36" s="7" t="s">
        <v>328</v>
      </c>
      <c r="C36" s="7" t="s">
        <v>329</v>
      </c>
      <c r="D36" s="7" t="s">
        <v>203</v>
      </c>
      <c r="E36" s="7" t="s">
        <v>231</v>
      </c>
      <c r="F36" s="7" t="s">
        <v>207</v>
      </c>
      <c r="G36" s="7" t="s">
        <v>316</v>
      </c>
      <c r="H36" s="7" t="s">
        <v>205</v>
      </c>
      <c r="I36" s="7" t="s">
        <v>262</v>
      </c>
      <c r="J36" s="7" t="n">
        <v>5</v>
      </c>
      <c r="K36" s="7" t="s">
        <v>204</v>
      </c>
    </row>
    <row r="37" customFormat="false" ht="39.75" hidden="false" customHeight="true" outlineLevel="0" collapsed="false">
      <c r="A37" s="7" t="s">
        <v>243</v>
      </c>
      <c r="B37" s="7" t="s">
        <v>330</v>
      </c>
      <c r="C37" s="7" t="s">
        <v>331</v>
      </c>
      <c r="D37" s="7" t="s">
        <v>203</v>
      </c>
      <c r="E37" s="7" t="s">
        <v>254</v>
      </c>
      <c r="F37" s="7" t="s">
        <v>207</v>
      </c>
      <c r="G37" s="7" t="s">
        <v>316</v>
      </c>
      <c r="H37" s="7" t="s">
        <v>205</v>
      </c>
      <c r="I37" s="7" t="s">
        <v>255</v>
      </c>
      <c r="J37" s="7" t="n">
        <v>5</v>
      </c>
      <c r="K37" s="7" t="s">
        <v>204</v>
      </c>
    </row>
    <row r="38" customFormat="false" ht="39.75" hidden="false" customHeight="true" outlineLevel="0" collapsed="false">
      <c r="A38" s="7" t="s">
        <v>243</v>
      </c>
      <c r="B38" s="7" t="s">
        <v>332</v>
      </c>
      <c r="C38" s="7" t="s">
        <v>331</v>
      </c>
      <c r="D38" s="7" t="s">
        <v>203</v>
      </c>
      <c r="E38" s="7" t="s">
        <v>258</v>
      </c>
      <c r="F38" s="7" t="s">
        <v>207</v>
      </c>
      <c r="G38" s="7" t="s">
        <v>316</v>
      </c>
      <c r="H38" s="7" t="s">
        <v>205</v>
      </c>
      <c r="I38" s="7" t="s">
        <v>255</v>
      </c>
      <c r="J38" s="7" t="n">
        <v>5</v>
      </c>
      <c r="K38" s="7" t="s">
        <v>204</v>
      </c>
    </row>
    <row r="39" customFormat="false" ht="39.75" hidden="false" customHeight="true" outlineLevel="0" collapsed="false">
      <c r="A39" s="7" t="s">
        <v>243</v>
      </c>
      <c r="B39" s="7" t="s">
        <v>333</v>
      </c>
      <c r="C39" s="7" t="s">
        <v>334</v>
      </c>
      <c r="D39" s="7" t="s">
        <v>203</v>
      </c>
      <c r="E39" s="7" t="s">
        <v>246</v>
      </c>
      <c r="F39" s="7" t="s">
        <v>207</v>
      </c>
      <c r="G39" s="7" t="s">
        <v>316</v>
      </c>
      <c r="H39" s="7" t="s">
        <v>205</v>
      </c>
      <c r="I39" s="7" t="s">
        <v>335</v>
      </c>
      <c r="J39" s="7" t="n">
        <v>3</v>
      </c>
      <c r="K39" s="7" t="s">
        <v>204</v>
      </c>
    </row>
    <row r="40" customFormat="false" ht="39.75" hidden="false" customHeight="true" outlineLevel="0" collapsed="false">
      <c r="A40" s="7" t="s">
        <v>243</v>
      </c>
      <c r="B40" s="7" t="s">
        <v>336</v>
      </c>
      <c r="C40" s="7" t="s">
        <v>337</v>
      </c>
      <c r="D40" s="7" t="s">
        <v>203</v>
      </c>
      <c r="E40" s="7" t="s">
        <v>251</v>
      </c>
      <c r="F40" s="7" t="s">
        <v>207</v>
      </c>
      <c r="G40" s="7" t="s">
        <v>316</v>
      </c>
      <c r="H40" s="7" t="s">
        <v>205</v>
      </c>
      <c r="I40" s="7" t="s">
        <v>335</v>
      </c>
      <c r="J40" s="7" t="n">
        <v>3</v>
      </c>
      <c r="K40" s="7" t="s">
        <v>204</v>
      </c>
    </row>
    <row r="41" customFormat="false" ht="39.75" hidden="false" customHeight="true" outlineLevel="0" collapsed="false">
      <c r="A41" s="7" t="s">
        <v>243</v>
      </c>
      <c r="B41" s="7" t="s">
        <v>338</v>
      </c>
      <c r="C41" s="7" t="s">
        <v>339</v>
      </c>
      <c r="D41" s="7" t="s">
        <v>203</v>
      </c>
      <c r="E41" s="7" t="s">
        <v>204</v>
      </c>
      <c r="F41" s="7" t="s">
        <v>207</v>
      </c>
      <c r="G41" s="7" t="s">
        <v>316</v>
      </c>
      <c r="H41" s="7" t="s">
        <v>211</v>
      </c>
      <c r="I41" s="7" t="s">
        <v>268</v>
      </c>
      <c r="J41" s="7" t="n">
        <v>2</v>
      </c>
      <c r="K41" s="7" t="s">
        <v>204</v>
      </c>
    </row>
    <row r="42" customFormat="false" ht="39.75" hidden="false" customHeight="true" outlineLevel="0" collapsed="false">
      <c r="A42" s="7" t="s">
        <v>243</v>
      </c>
      <c r="B42" s="7" t="s">
        <v>340</v>
      </c>
      <c r="C42" s="7" t="s">
        <v>341</v>
      </c>
      <c r="D42" s="7" t="s">
        <v>235</v>
      </c>
      <c r="E42" s="7" t="s">
        <v>246</v>
      </c>
      <c r="F42" s="7" t="s">
        <v>213</v>
      </c>
      <c r="G42" s="7" t="s">
        <v>323</v>
      </c>
      <c r="H42" s="7" t="s">
        <v>205</v>
      </c>
      <c r="I42" s="7" t="s">
        <v>342</v>
      </c>
      <c r="J42" s="7" t="n">
        <v>8</v>
      </c>
      <c r="K42" s="7" t="s">
        <v>204</v>
      </c>
    </row>
    <row r="43" customFormat="false" ht="39.75" hidden="false" customHeight="true" outlineLevel="0" collapsed="false">
      <c r="A43" s="7" t="s">
        <v>243</v>
      </c>
      <c r="B43" s="7" t="s">
        <v>343</v>
      </c>
      <c r="C43" s="7" t="s">
        <v>344</v>
      </c>
      <c r="D43" s="7" t="s">
        <v>235</v>
      </c>
      <c r="E43" s="7" t="s">
        <v>246</v>
      </c>
      <c r="F43" s="7" t="s">
        <v>213</v>
      </c>
      <c r="G43" s="7" t="s">
        <v>323</v>
      </c>
      <c r="H43" s="7" t="s">
        <v>205</v>
      </c>
      <c r="I43" s="7" t="s">
        <v>342</v>
      </c>
      <c r="J43" s="7" t="n">
        <v>5</v>
      </c>
      <c r="K43" s="7" t="s">
        <v>204</v>
      </c>
    </row>
    <row r="44" customFormat="false" ht="39.75" hidden="false" customHeight="true" outlineLevel="0" collapsed="false">
      <c r="A44" s="7" t="s">
        <v>243</v>
      </c>
      <c r="B44" s="7" t="s">
        <v>345</v>
      </c>
      <c r="C44" s="7" t="s">
        <v>346</v>
      </c>
      <c r="D44" s="7" t="s">
        <v>235</v>
      </c>
      <c r="E44" s="7" t="s">
        <v>251</v>
      </c>
      <c r="F44" s="7" t="s">
        <v>213</v>
      </c>
      <c r="G44" s="7" t="s">
        <v>323</v>
      </c>
      <c r="H44" s="7" t="s">
        <v>205</v>
      </c>
      <c r="I44" s="7" t="s">
        <v>342</v>
      </c>
      <c r="J44" s="7" t="n">
        <v>8</v>
      </c>
      <c r="K44" s="7" t="s">
        <v>204</v>
      </c>
    </row>
    <row r="45" customFormat="false" ht="39.75" hidden="false" customHeight="true" outlineLevel="0" collapsed="false">
      <c r="A45" s="7" t="s">
        <v>243</v>
      </c>
      <c r="B45" s="7" t="s">
        <v>347</v>
      </c>
      <c r="C45" s="7" t="s">
        <v>348</v>
      </c>
      <c r="D45" s="7" t="s">
        <v>235</v>
      </c>
      <c r="E45" s="7" t="s">
        <v>251</v>
      </c>
      <c r="F45" s="7" t="s">
        <v>213</v>
      </c>
      <c r="G45" s="7" t="s">
        <v>323</v>
      </c>
      <c r="H45" s="7" t="s">
        <v>205</v>
      </c>
      <c r="I45" s="7" t="s">
        <v>342</v>
      </c>
      <c r="J45" s="7" t="n">
        <v>5</v>
      </c>
      <c r="K45" s="7" t="s">
        <v>204</v>
      </c>
    </row>
    <row r="46" customFormat="false" ht="39.75" hidden="false" customHeight="true" outlineLevel="0" collapsed="false">
      <c r="A46" s="7" t="s">
        <v>243</v>
      </c>
      <c r="B46" s="7" t="s">
        <v>349</v>
      </c>
      <c r="C46" s="7" t="s">
        <v>350</v>
      </c>
      <c r="D46" s="7" t="s">
        <v>235</v>
      </c>
      <c r="E46" s="7" t="s">
        <v>246</v>
      </c>
      <c r="F46" s="7" t="s">
        <v>213</v>
      </c>
      <c r="G46" s="7" t="s">
        <v>323</v>
      </c>
      <c r="H46" s="7" t="s">
        <v>205</v>
      </c>
      <c r="I46" s="7" t="s">
        <v>342</v>
      </c>
      <c r="J46" s="7" t="n">
        <v>5</v>
      </c>
      <c r="K46" s="7" t="s">
        <v>204</v>
      </c>
    </row>
    <row r="47" customFormat="false" ht="39.75" hidden="false" customHeight="true" outlineLevel="0" collapsed="false">
      <c r="A47" s="7" t="s">
        <v>243</v>
      </c>
      <c r="B47" s="7" t="s">
        <v>351</v>
      </c>
      <c r="C47" s="7" t="s">
        <v>352</v>
      </c>
      <c r="D47" s="7" t="s">
        <v>235</v>
      </c>
      <c r="E47" s="7" t="s">
        <v>251</v>
      </c>
      <c r="F47" s="7" t="s">
        <v>213</v>
      </c>
      <c r="G47" s="7" t="s">
        <v>323</v>
      </c>
      <c r="H47" s="7" t="s">
        <v>205</v>
      </c>
      <c r="I47" s="7" t="s">
        <v>342</v>
      </c>
      <c r="J47" s="7" t="n">
        <v>5</v>
      </c>
      <c r="K47" s="7" t="s">
        <v>204</v>
      </c>
    </row>
    <row r="48" customFormat="false" ht="39.75" hidden="false" customHeight="true" outlineLevel="0" collapsed="false">
      <c r="A48" s="7" t="s">
        <v>243</v>
      </c>
      <c r="B48" s="7" t="s">
        <v>353</v>
      </c>
      <c r="C48" s="7" t="s">
        <v>354</v>
      </c>
      <c r="D48" s="7" t="s">
        <v>235</v>
      </c>
      <c r="E48" s="7" t="s">
        <v>254</v>
      </c>
      <c r="F48" s="7" t="s">
        <v>213</v>
      </c>
      <c r="G48" s="7" t="s">
        <v>323</v>
      </c>
      <c r="H48" s="7" t="s">
        <v>205</v>
      </c>
      <c r="I48" s="7" t="s">
        <v>355</v>
      </c>
      <c r="J48" s="7" t="n">
        <v>5</v>
      </c>
      <c r="K48" s="7" t="s">
        <v>204</v>
      </c>
    </row>
    <row r="49" customFormat="false" ht="39.75" hidden="false" customHeight="true" outlineLevel="0" collapsed="false">
      <c r="A49" s="7" t="s">
        <v>243</v>
      </c>
      <c r="B49" s="7" t="s">
        <v>356</v>
      </c>
      <c r="C49" s="7" t="s">
        <v>357</v>
      </c>
      <c r="D49" s="7" t="s">
        <v>235</v>
      </c>
      <c r="E49" s="7" t="s">
        <v>254</v>
      </c>
      <c r="F49" s="7" t="s">
        <v>213</v>
      </c>
      <c r="G49" s="7" t="s">
        <v>323</v>
      </c>
      <c r="H49" s="7" t="s">
        <v>205</v>
      </c>
      <c r="I49" s="7" t="s">
        <v>355</v>
      </c>
      <c r="J49" s="7" t="n">
        <v>3</v>
      </c>
      <c r="K49" s="7" t="s">
        <v>204</v>
      </c>
    </row>
    <row r="50" customFormat="false" ht="39.75" hidden="false" customHeight="true" outlineLevel="0" collapsed="false">
      <c r="A50" s="7" t="s">
        <v>243</v>
      </c>
      <c r="B50" s="7" t="s">
        <v>358</v>
      </c>
      <c r="C50" s="7" t="s">
        <v>359</v>
      </c>
      <c r="D50" s="7" t="s">
        <v>235</v>
      </c>
      <c r="E50" s="7" t="s">
        <v>258</v>
      </c>
      <c r="F50" s="7" t="s">
        <v>213</v>
      </c>
      <c r="G50" s="7" t="s">
        <v>323</v>
      </c>
      <c r="H50" s="7" t="s">
        <v>205</v>
      </c>
      <c r="I50" s="7" t="s">
        <v>355</v>
      </c>
      <c r="J50" s="7" t="n">
        <v>3</v>
      </c>
      <c r="K50" s="7" t="s">
        <v>204</v>
      </c>
    </row>
    <row r="51" customFormat="false" ht="39.75" hidden="false" customHeight="true" outlineLevel="0" collapsed="false">
      <c r="A51" s="7" t="s">
        <v>243</v>
      </c>
      <c r="B51" s="7" t="s">
        <v>360</v>
      </c>
      <c r="C51" s="7" t="s">
        <v>361</v>
      </c>
      <c r="D51" s="7" t="s">
        <v>235</v>
      </c>
      <c r="E51" s="7" t="s">
        <v>231</v>
      </c>
      <c r="F51" s="7" t="s">
        <v>213</v>
      </c>
      <c r="G51" s="7" t="s">
        <v>323</v>
      </c>
      <c r="H51" s="7" t="s">
        <v>205</v>
      </c>
      <c r="I51" s="7" t="s">
        <v>362</v>
      </c>
      <c r="J51" s="7" t="n">
        <v>5</v>
      </c>
      <c r="K51" s="7" t="s">
        <v>204</v>
      </c>
    </row>
    <row r="52" customFormat="false" ht="39.75" hidden="false" customHeight="true" outlineLevel="0" collapsed="false">
      <c r="A52" s="7" t="s">
        <v>243</v>
      </c>
      <c r="B52" s="7" t="s">
        <v>363</v>
      </c>
      <c r="C52" s="7" t="s">
        <v>364</v>
      </c>
      <c r="D52" s="7" t="s">
        <v>203</v>
      </c>
      <c r="E52" s="7" t="s">
        <v>246</v>
      </c>
      <c r="F52" s="7" t="s">
        <v>213</v>
      </c>
      <c r="G52" s="7" t="s">
        <v>365</v>
      </c>
      <c r="H52" s="7" t="s">
        <v>205</v>
      </c>
      <c r="I52" s="7" t="s">
        <v>335</v>
      </c>
      <c r="J52" s="7" t="n">
        <v>5</v>
      </c>
      <c r="K52" s="7" t="s">
        <v>204</v>
      </c>
    </row>
    <row r="53" customFormat="false" ht="39.75" hidden="false" customHeight="true" outlineLevel="0" collapsed="false">
      <c r="A53" s="7" t="s">
        <v>243</v>
      </c>
      <c r="B53" s="7" t="s">
        <v>366</v>
      </c>
      <c r="C53" s="7" t="s">
        <v>367</v>
      </c>
      <c r="D53" s="7" t="s">
        <v>203</v>
      </c>
      <c r="E53" s="7" t="s">
        <v>246</v>
      </c>
      <c r="F53" s="7" t="s">
        <v>213</v>
      </c>
      <c r="G53" s="7" t="s">
        <v>365</v>
      </c>
      <c r="H53" s="7" t="s">
        <v>205</v>
      </c>
      <c r="I53" s="7" t="s">
        <v>335</v>
      </c>
      <c r="J53" s="7" t="n">
        <v>3</v>
      </c>
      <c r="K53" s="7" t="s">
        <v>204</v>
      </c>
    </row>
    <row r="54" customFormat="false" ht="39.75" hidden="false" customHeight="true" outlineLevel="0" collapsed="false">
      <c r="A54" s="7" t="s">
        <v>243</v>
      </c>
      <c r="B54" s="7" t="s">
        <v>368</v>
      </c>
      <c r="C54" s="7" t="s">
        <v>369</v>
      </c>
      <c r="D54" s="7" t="s">
        <v>203</v>
      </c>
      <c r="E54" s="7" t="s">
        <v>251</v>
      </c>
      <c r="F54" s="7" t="s">
        <v>213</v>
      </c>
      <c r="G54" s="7" t="s">
        <v>365</v>
      </c>
      <c r="H54" s="7" t="s">
        <v>205</v>
      </c>
      <c r="I54" s="7" t="s">
        <v>335</v>
      </c>
      <c r="J54" s="7" t="n">
        <v>3</v>
      </c>
      <c r="K54" s="7" t="s">
        <v>204</v>
      </c>
    </row>
    <row r="55" customFormat="false" ht="39.75" hidden="false" customHeight="true" outlineLevel="0" collapsed="false">
      <c r="A55" s="7" t="s">
        <v>243</v>
      </c>
      <c r="B55" s="7" t="s">
        <v>370</v>
      </c>
      <c r="C55" s="7" t="s">
        <v>371</v>
      </c>
      <c r="D55" s="7" t="s">
        <v>235</v>
      </c>
      <c r="E55" s="7" t="s">
        <v>254</v>
      </c>
      <c r="F55" s="7" t="s">
        <v>213</v>
      </c>
      <c r="G55" s="7" t="s">
        <v>365</v>
      </c>
      <c r="H55" s="7" t="s">
        <v>205</v>
      </c>
      <c r="I55" s="7" t="s">
        <v>259</v>
      </c>
      <c r="J55" s="7" t="n">
        <v>5</v>
      </c>
      <c r="K55" s="7" t="s">
        <v>204</v>
      </c>
    </row>
    <row r="56" customFormat="false" ht="39.75" hidden="false" customHeight="true" outlineLevel="0" collapsed="false">
      <c r="A56" s="7" t="s">
        <v>243</v>
      </c>
      <c r="B56" s="7" t="s">
        <v>372</v>
      </c>
      <c r="C56" s="7" t="s">
        <v>373</v>
      </c>
      <c r="D56" s="7" t="s">
        <v>235</v>
      </c>
      <c r="E56" s="7" t="s">
        <v>258</v>
      </c>
      <c r="F56" s="7" t="s">
        <v>213</v>
      </c>
      <c r="G56" s="7" t="s">
        <v>365</v>
      </c>
      <c r="H56" s="7" t="s">
        <v>205</v>
      </c>
      <c r="I56" s="7" t="s">
        <v>259</v>
      </c>
      <c r="J56" s="7" t="n">
        <v>8</v>
      </c>
      <c r="K56" s="7" t="s">
        <v>204</v>
      </c>
    </row>
    <row r="57" customFormat="false" ht="39.75" hidden="false" customHeight="true" outlineLevel="0" collapsed="false">
      <c r="A57" s="7" t="s">
        <v>243</v>
      </c>
      <c r="B57" s="7" t="s">
        <v>374</v>
      </c>
      <c r="C57" s="7" t="s">
        <v>375</v>
      </c>
      <c r="D57" s="7" t="s">
        <v>203</v>
      </c>
      <c r="E57" s="7" t="s">
        <v>254</v>
      </c>
      <c r="F57" s="7" t="s">
        <v>213</v>
      </c>
      <c r="G57" s="7" t="s">
        <v>365</v>
      </c>
      <c r="H57" s="7" t="s">
        <v>205</v>
      </c>
      <c r="I57" s="7" t="s">
        <v>259</v>
      </c>
      <c r="J57" s="7" t="n">
        <v>5</v>
      </c>
      <c r="K57" s="7" t="s">
        <v>204</v>
      </c>
    </row>
    <row r="58" customFormat="false" ht="39.75" hidden="false" customHeight="true" outlineLevel="0" collapsed="false">
      <c r="A58" s="7" t="s">
        <v>243</v>
      </c>
      <c r="B58" s="7" t="s">
        <v>376</v>
      </c>
      <c r="C58" s="7" t="s">
        <v>377</v>
      </c>
      <c r="D58" s="7" t="s">
        <v>203</v>
      </c>
      <c r="E58" s="7" t="s">
        <v>258</v>
      </c>
      <c r="F58" s="7" t="s">
        <v>213</v>
      </c>
      <c r="G58" s="7" t="s">
        <v>365</v>
      </c>
      <c r="H58" s="7" t="s">
        <v>205</v>
      </c>
      <c r="I58" s="7" t="s">
        <v>255</v>
      </c>
      <c r="J58" s="7" t="n">
        <v>3</v>
      </c>
      <c r="K58" s="7" t="s">
        <v>204</v>
      </c>
    </row>
    <row r="59" customFormat="false" ht="39.75" hidden="false" customHeight="true" outlineLevel="0" collapsed="false">
      <c r="A59" s="7" t="s">
        <v>243</v>
      </c>
      <c r="B59" s="7" t="s">
        <v>378</v>
      </c>
      <c r="C59" s="7" t="s">
        <v>379</v>
      </c>
      <c r="D59" s="7" t="s">
        <v>203</v>
      </c>
      <c r="E59" s="7" t="s">
        <v>254</v>
      </c>
      <c r="F59" s="7" t="s">
        <v>213</v>
      </c>
      <c r="G59" s="7" t="s">
        <v>365</v>
      </c>
      <c r="H59" s="7" t="s">
        <v>205</v>
      </c>
      <c r="I59" s="7" t="s">
        <v>255</v>
      </c>
      <c r="J59" s="7" t="n">
        <v>3</v>
      </c>
      <c r="K59" s="7" t="s">
        <v>204</v>
      </c>
    </row>
    <row r="60" customFormat="false" ht="39.75" hidden="false" customHeight="true" outlineLevel="0" collapsed="false">
      <c r="A60" s="7" t="s">
        <v>243</v>
      </c>
      <c r="B60" s="7" t="s">
        <v>380</v>
      </c>
      <c r="C60" s="7" t="s">
        <v>381</v>
      </c>
      <c r="D60" s="7" t="s">
        <v>203</v>
      </c>
      <c r="E60" s="7" t="s">
        <v>231</v>
      </c>
      <c r="F60" s="7" t="s">
        <v>213</v>
      </c>
      <c r="G60" s="7" t="s">
        <v>365</v>
      </c>
      <c r="H60" s="7" t="s">
        <v>205</v>
      </c>
      <c r="I60" s="7" t="s">
        <v>382</v>
      </c>
      <c r="J60" s="7" t="n">
        <v>5</v>
      </c>
      <c r="K60" s="7" t="s">
        <v>204</v>
      </c>
    </row>
    <row r="61" customFormat="false" ht="39.75" hidden="false" customHeight="true" outlineLevel="0" collapsed="false">
      <c r="A61" s="7" t="s">
        <v>243</v>
      </c>
      <c r="B61" s="7" t="s">
        <v>383</v>
      </c>
      <c r="C61" s="7" t="s">
        <v>384</v>
      </c>
      <c r="D61" s="7" t="s">
        <v>203</v>
      </c>
      <c r="E61" s="7" t="s">
        <v>251</v>
      </c>
      <c r="F61" s="7" t="s">
        <v>213</v>
      </c>
      <c r="G61" s="7" t="s">
        <v>365</v>
      </c>
      <c r="H61" s="7" t="s">
        <v>205</v>
      </c>
      <c r="I61" s="7" t="s">
        <v>248</v>
      </c>
      <c r="J61" s="7" t="n">
        <v>3</v>
      </c>
      <c r="K61" s="7" t="s">
        <v>204</v>
      </c>
    </row>
    <row r="62" customFormat="false" ht="39.75" hidden="false" customHeight="true" outlineLevel="0" collapsed="false">
      <c r="A62" s="7" t="s">
        <v>243</v>
      </c>
      <c r="B62" s="7" t="s">
        <v>385</v>
      </c>
      <c r="C62" s="7" t="s">
        <v>386</v>
      </c>
      <c r="D62" s="7" t="s">
        <v>235</v>
      </c>
      <c r="E62" s="7" t="s">
        <v>246</v>
      </c>
      <c r="F62" s="7" t="s">
        <v>216</v>
      </c>
      <c r="G62" s="7" t="s">
        <v>387</v>
      </c>
      <c r="H62" s="7" t="s">
        <v>211</v>
      </c>
      <c r="I62" s="7" t="s">
        <v>282</v>
      </c>
      <c r="J62" s="7" t="n">
        <v>5</v>
      </c>
      <c r="K62" s="7" t="s">
        <v>204</v>
      </c>
    </row>
    <row r="63" customFormat="false" ht="39.75" hidden="false" customHeight="true" outlineLevel="0" collapsed="false">
      <c r="A63" s="7" t="s">
        <v>243</v>
      </c>
      <c r="B63" s="7" t="s">
        <v>388</v>
      </c>
      <c r="C63" s="7" t="s">
        <v>389</v>
      </c>
      <c r="D63" s="7" t="s">
        <v>235</v>
      </c>
      <c r="E63" s="7" t="s">
        <v>246</v>
      </c>
      <c r="F63" s="7" t="s">
        <v>216</v>
      </c>
      <c r="G63" s="7" t="s">
        <v>387</v>
      </c>
      <c r="H63" s="7" t="s">
        <v>211</v>
      </c>
      <c r="I63" s="7" t="s">
        <v>282</v>
      </c>
      <c r="J63" s="7" t="n">
        <v>5</v>
      </c>
      <c r="K63" s="7" t="s">
        <v>204</v>
      </c>
    </row>
    <row r="64" customFormat="false" ht="39.75" hidden="false" customHeight="true" outlineLevel="0" collapsed="false">
      <c r="A64" s="7" t="s">
        <v>243</v>
      </c>
      <c r="B64" s="7" t="s">
        <v>390</v>
      </c>
      <c r="C64" s="7" t="s">
        <v>391</v>
      </c>
      <c r="D64" s="7" t="s">
        <v>235</v>
      </c>
      <c r="E64" s="7" t="s">
        <v>246</v>
      </c>
      <c r="F64" s="7" t="s">
        <v>216</v>
      </c>
      <c r="G64" s="7" t="s">
        <v>387</v>
      </c>
      <c r="H64" s="7" t="s">
        <v>211</v>
      </c>
      <c r="I64" s="7" t="s">
        <v>282</v>
      </c>
      <c r="J64" s="7" t="n">
        <v>3</v>
      </c>
      <c r="K64" s="7" t="s">
        <v>204</v>
      </c>
    </row>
    <row r="65" customFormat="false" ht="39.75" hidden="false" customHeight="true" outlineLevel="0" collapsed="false">
      <c r="A65" s="7" t="s">
        <v>243</v>
      </c>
      <c r="B65" s="7" t="s">
        <v>392</v>
      </c>
      <c r="C65" s="7" t="s">
        <v>393</v>
      </c>
      <c r="D65" s="7" t="s">
        <v>235</v>
      </c>
      <c r="E65" s="7" t="s">
        <v>251</v>
      </c>
      <c r="F65" s="7" t="s">
        <v>216</v>
      </c>
      <c r="G65" s="7" t="s">
        <v>387</v>
      </c>
      <c r="H65" s="7" t="s">
        <v>211</v>
      </c>
      <c r="I65" s="7" t="s">
        <v>282</v>
      </c>
      <c r="J65" s="7" t="n">
        <v>5</v>
      </c>
      <c r="K65" s="7" t="s">
        <v>204</v>
      </c>
    </row>
    <row r="66" customFormat="false" ht="39.75" hidden="false" customHeight="true" outlineLevel="0" collapsed="false">
      <c r="A66" s="7" t="s">
        <v>243</v>
      </c>
      <c r="B66" s="7" t="s">
        <v>394</v>
      </c>
      <c r="C66" s="7" t="s">
        <v>395</v>
      </c>
      <c r="D66" s="7" t="s">
        <v>235</v>
      </c>
      <c r="E66" s="7" t="s">
        <v>251</v>
      </c>
      <c r="F66" s="7" t="s">
        <v>216</v>
      </c>
      <c r="G66" s="7" t="s">
        <v>387</v>
      </c>
      <c r="H66" s="7" t="s">
        <v>211</v>
      </c>
      <c r="I66" s="7" t="s">
        <v>282</v>
      </c>
      <c r="J66" s="7" t="n">
        <v>3</v>
      </c>
      <c r="K66" s="7" t="s">
        <v>204</v>
      </c>
    </row>
    <row r="67" customFormat="false" ht="39.75" hidden="false" customHeight="true" outlineLevel="0" collapsed="false">
      <c r="A67" s="7" t="s">
        <v>243</v>
      </c>
      <c r="B67" s="7" t="s">
        <v>396</v>
      </c>
      <c r="C67" s="7" t="s">
        <v>397</v>
      </c>
      <c r="D67" s="7" t="s">
        <v>203</v>
      </c>
      <c r="E67" s="7" t="s">
        <v>251</v>
      </c>
      <c r="F67" s="7" t="s">
        <v>216</v>
      </c>
      <c r="G67" s="7" t="s">
        <v>387</v>
      </c>
      <c r="H67" s="7" t="s">
        <v>211</v>
      </c>
      <c r="I67" s="7" t="s">
        <v>282</v>
      </c>
      <c r="J67" s="7" t="n">
        <v>3</v>
      </c>
      <c r="K67" s="7" t="s">
        <v>204</v>
      </c>
    </row>
    <row r="68" customFormat="false" ht="39.75" hidden="false" customHeight="true" outlineLevel="0" collapsed="false">
      <c r="A68" s="7" t="s">
        <v>243</v>
      </c>
      <c r="B68" s="7" t="s">
        <v>398</v>
      </c>
      <c r="C68" s="7" t="s">
        <v>399</v>
      </c>
      <c r="D68" s="7" t="s">
        <v>203</v>
      </c>
      <c r="E68" s="7" t="s">
        <v>251</v>
      </c>
      <c r="F68" s="7" t="s">
        <v>216</v>
      </c>
      <c r="G68" s="7" t="s">
        <v>387</v>
      </c>
      <c r="H68" s="7" t="s">
        <v>211</v>
      </c>
      <c r="I68" s="7" t="s">
        <v>282</v>
      </c>
      <c r="J68" s="7" t="n">
        <v>5</v>
      </c>
      <c r="K68" s="7" t="s">
        <v>204</v>
      </c>
    </row>
    <row r="69" customFormat="false" ht="39.75" hidden="false" customHeight="true" outlineLevel="0" collapsed="false">
      <c r="A69" s="7" t="s">
        <v>243</v>
      </c>
      <c r="B69" s="7" t="s">
        <v>400</v>
      </c>
      <c r="C69" s="7" t="s">
        <v>401</v>
      </c>
      <c r="D69" s="7" t="s">
        <v>235</v>
      </c>
      <c r="E69" s="7" t="s">
        <v>254</v>
      </c>
      <c r="F69" s="7" t="s">
        <v>216</v>
      </c>
      <c r="G69" s="7" t="s">
        <v>387</v>
      </c>
      <c r="H69" s="7" t="s">
        <v>211</v>
      </c>
      <c r="I69" s="7" t="s">
        <v>402</v>
      </c>
      <c r="J69" s="7" t="n">
        <v>8</v>
      </c>
      <c r="K69" s="7" t="s">
        <v>204</v>
      </c>
    </row>
    <row r="70" customFormat="false" ht="39.75" hidden="false" customHeight="true" outlineLevel="0" collapsed="false">
      <c r="A70" s="7" t="s">
        <v>243</v>
      </c>
      <c r="B70" s="7" t="s">
        <v>403</v>
      </c>
      <c r="C70" s="7" t="s">
        <v>404</v>
      </c>
      <c r="D70" s="7" t="s">
        <v>235</v>
      </c>
      <c r="E70" s="7" t="s">
        <v>254</v>
      </c>
      <c r="F70" s="7" t="s">
        <v>216</v>
      </c>
      <c r="G70" s="7" t="s">
        <v>387</v>
      </c>
      <c r="H70" s="7" t="s">
        <v>211</v>
      </c>
      <c r="I70" s="7" t="s">
        <v>402</v>
      </c>
      <c r="J70" s="7" t="n">
        <v>5</v>
      </c>
      <c r="K70" s="7" t="s">
        <v>204</v>
      </c>
    </row>
    <row r="71" customFormat="false" ht="39.75" hidden="false" customHeight="true" outlineLevel="0" collapsed="false">
      <c r="A71" s="7" t="s">
        <v>243</v>
      </c>
      <c r="B71" s="7" t="s">
        <v>405</v>
      </c>
      <c r="C71" s="7" t="s">
        <v>406</v>
      </c>
      <c r="D71" s="7" t="s">
        <v>235</v>
      </c>
      <c r="E71" s="7" t="s">
        <v>258</v>
      </c>
      <c r="F71" s="7" t="s">
        <v>216</v>
      </c>
      <c r="G71" s="7" t="s">
        <v>387</v>
      </c>
      <c r="H71" s="7" t="s">
        <v>211</v>
      </c>
      <c r="I71" s="7" t="s">
        <v>402</v>
      </c>
      <c r="J71" s="7" t="n">
        <v>8</v>
      </c>
      <c r="K71" s="7" t="s">
        <v>204</v>
      </c>
    </row>
    <row r="72" customFormat="false" ht="39.75" hidden="false" customHeight="true" outlineLevel="0" collapsed="false">
      <c r="A72" s="7" t="s">
        <v>243</v>
      </c>
      <c r="B72" s="7" t="s">
        <v>407</v>
      </c>
      <c r="C72" s="7" t="s">
        <v>408</v>
      </c>
      <c r="D72" s="7" t="s">
        <v>235</v>
      </c>
      <c r="E72" s="7" t="s">
        <v>258</v>
      </c>
      <c r="F72" s="7" t="s">
        <v>216</v>
      </c>
      <c r="G72" s="7" t="s">
        <v>387</v>
      </c>
      <c r="H72" s="7" t="s">
        <v>211</v>
      </c>
      <c r="I72" s="7" t="s">
        <v>402</v>
      </c>
      <c r="J72" s="7" t="n">
        <v>5</v>
      </c>
      <c r="K72" s="7" t="s">
        <v>204</v>
      </c>
    </row>
    <row r="73" customFormat="false" ht="39.75" hidden="false" customHeight="true" outlineLevel="0" collapsed="false">
      <c r="A73" s="7" t="s">
        <v>243</v>
      </c>
      <c r="B73" s="7" t="s">
        <v>409</v>
      </c>
      <c r="C73" s="7" t="s">
        <v>410</v>
      </c>
      <c r="D73" s="7" t="s">
        <v>203</v>
      </c>
      <c r="E73" s="7" t="s">
        <v>258</v>
      </c>
      <c r="F73" s="7" t="s">
        <v>216</v>
      </c>
      <c r="G73" s="7" t="s">
        <v>387</v>
      </c>
      <c r="H73" s="7" t="s">
        <v>211</v>
      </c>
      <c r="I73" s="7" t="s">
        <v>402</v>
      </c>
      <c r="J73" s="7" t="n">
        <v>3</v>
      </c>
      <c r="K73" s="7" t="s">
        <v>204</v>
      </c>
    </row>
    <row r="74" customFormat="false" ht="39.75" hidden="false" customHeight="true" outlineLevel="0" collapsed="false">
      <c r="A74" s="7" t="s">
        <v>243</v>
      </c>
      <c r="B74" s="7" t="s">
        <v>411</v>
      </c>
      <c r="C74" s="7" t="s">
        <v>412</v>
      </c>
      <c r="D74" s="7" t="s">
        <v>235</v>
      </c>
      <c r="E74" s="7" t="s">
        <v>231</v>
      </c>
      <c r="F74" s="7" t="s">
        <v>216</v>
      </c>
      <c r="G74" s="7" t="s">
        <v>387</v>
      </c>
      <c r="H74" s="7" t="s">
        <v>211</v>
      </c>
      <c r="I74" s="7" t="s">
        <v>287</v>
      </c>
      <c r="J74" s="7" t="n">
        <v>5</v>
      </c>
      <c r="K74" s="7" t="s">
        <v>204</v>
      </c>
    </row>
    <row r="75" customFormat="false" ht="39.75" hidden="false" customHeight="true" outlineLevel="0" collapsed="false">
      <c r="A75" s="7" t="s">
        <v>243</v>
      </c>
      <c r="B75" s="7" t="s">
        <v>413</v>
      </c>
      <c r="C75" s="7" t="s">
        <v>414</v>
      </c>
      <c r="D75" s="7" t="s">
        <v>235</v>
      </c>
      <c r="E75" s="7" t="s">
        <v>231</v>
      </c>
      <c r="F75" s="7" t="s">
        <v>216</v>
      </c>
      <c r="G75" s="7" t="s">
        <v>387</v>
      </c>
      <c r="H75" s="7" t="s">
        <v>211</v>
      </c>
      <c r="I75" s="7" t="s">
        <v>287</v>
      </c>
      <c r="J75" s="7" t="n">
        <v>3</v>
      </c>
      <c r="K75" s="7" t="s">
        <v>204</v>
      </c>
    </row>
    <row r="76" customFormat="false" ht="39.75" hidden="false" customHeight="true" outlineLevel="0" collapsed="false">
      <c r="A76" s="7" t="s">
        <v>243</v>
      </c>
      <c r="B76" s="7" t="s">
        <v>415</v>
      </c>
      <c r="C76" s="7" t="s">
        <v>416</v>
      </c>
      <c r="D76" s="7" t="s">
        <v>235</v>
      </c>
      <c r="E76" s="7" t="s">
        <v>246</v>
      </c>
      <c r="F76" s="7" t="s">
        <v>216</v>
      </c>
      <c r="G76" s="7" t="s">
        <v>417</v>
      </c>
      <c r="H76" s="7" t="s">
        <v>211</v>
      </c>
      <c r="I76" s="7" t="s">
        <v>282</v>
      </c>
      <c r="J76" s="7" t="n">
        <v>5</v>
      </c>
      <c r="K76" s="7" t="s">
        <v>204</v>
      </c>
    </row>
    <row r="77" customFormat="false" ht="39.75" hidden="false" customHeight="true" outlineLevel="0" collapsed="false">
      <c r="A77" s="7" t="s">
        <v>243</v>
      </c>
      <c r="B77" s="7" t="s">
        <v>418</v>
      </c>
      <c r="C77" s="7" t="s">
        <v>419</v>
      </c>
      <c r="D77" s="7" t="s">
        <v>235</v>
      </c>
      <c r="E77" s="7" t="s">
        <v>246</v>
      </c>
      <c r="F77" s="7" t="s">
        <v>216</v>
      </c>
      <c r="G77" s="7" t="s">
        <v>417</v>
      </c>
      <c r="H77" s="7" t="s">
        <v>211</v>
      </c>
      <c r="I77" s="7" t="s">
        <v>282</v>
      </c>
      <c r="J77" s="7" t="n">
        <v>5</v>
      </c>
      <c r="K77" s="7" t="s">
        <v>204</v>
      </c>
    </row>
    <row r="78" customFormat="false" ht="39.75" hidden="false" customHeight="true" outlineLevel="0" collapsed="false">
      <c r="A78" s="7" t="s">
        <v>243</v>
      </c>
      <c r="B78" s="7" t="s">
        <v>420</v>
      </c>
      <c r="C78" s="7" t="s">
        <v>421</v>
      </c>
      <c r="D78" s="7" t="s">
        <v>235</v>
      </c>
      <c r="E78" s="7" t="s">
        <v>246</v>
      </c>
      <c r="F78" s="7" t="s">
        <v>216</v>
      </c>
      <c r="G78" s="7" t="s">
        <v>417</v>
      </c>
      <c r="H78" s="7" t="s">
        <v>211</v>
      </c>
      <c r="I78" s="7" t="s">
        <v>282</v>
      </c>
      <c r="J78" s="7" t="n">
        <v>5</v>
      </c>
      <c r="K78" s="7" t="s">
        <v>204</v>
      </c>
    </row>
    <row r="79" customFormat="false" ht="39.75" hidden="false" customHeight="true" outlineLevel="0" collapsed="false">
      <c r="A79" s="7" t="s">
        <v>243</v>
      </c>
      <c r="B79" s="7" t="s">
        <v>422</v>
      </c>
      <c r="C79" s="7" t="s">
        <v>423</v>
      </c>
      <c r="D79" s="7" t="s">
        <v>235</v>
      </c>
      <c r="E79" s="7" t="s">
        <v>251</v>
      </c>
      <c r="F79" s="7" t="s">
        <v>216</v>
      </c>
      <c r="G79" s="7" t="s">
        <v>417</v>
      </c>
      <c r="H79" s="7" t="s">
        <v>211</v>
      </c>
      <c r="I79" s="7" t="s">
        <v>282</v>
      </c>
      <c r="J79" s="7" t="n">
        <v>5</v>
      </c>
      <c r="K79" s="7" t="s">
        <v>204</v>
      </c>
    </row>
    <row r="80" customFormat="false" ht="39.75" hidden="false" customHeight="true" outlineLevel="0" collapsed="false">
      <c r="A80" s="7" t="s">
        <v>243</v>
      </c>
      <c r="B80" s="7" t="s">
        <v>424</v>
      </c>
      <c r="C80" s="7" t="s">
        <v>425</v>
      </c>
      <c r="D80" s="7" t="s">
        <v>235</v>
      </c>
      <c r="E80" s="7" t="s">
        <v>251</v>
      </c>
      <c r="F80" s="7" t="s">
        <v>216</v>
      </c>
      <c r="G80" s="7" t="s">
        <v>417</v>
      </c>
      <c r="H80" s="7" t="s">
        <v>211</v>
      </c>
      <c r="I80" s="7" t="s">
        <v>282</v>
      </c>
      <c r="J80" s="7" t="n">
        <v>5</v>
      </c>
      <c r="K80" s="7" t="s">
        <v>204</v>
      </c>
    </row>
    <row r="81" customFormat="false" ht="39.75" hidden="false" customHeight="true" outlineLevel="0" collapsed="false">
      <c r="A81" s="7" t="s">
        <v>243</v>
      </c>
      <c r="B81" s="7" t="s">
        <v>426</v>
      </c>
      <c r="C81" s="7" t="s">
        <v>427</v>
      </c>
      <c r="D81" s="7" t="s">
        <v>203</v>
      </c>
      <c r="E81" s="7" t="s">
        <v>251</v>
      </c>
      <c r="F81" s="7" t="s">
        <v>216</v>
      </c>
      <c r="G81" s="7" t="s">
        <v>417</v>
      </c>
      <c r="H81" s="7" t="s">
        <v>211</v>
      </c>
      <c r="I81" s="7" t="s">
        <v>282</v>
      </c>
      <c r="J81" s="7" t="n">
        <v>3</v>
      </c>
      <c r="K81" s="7" t="s">
        <v>204</v>
      </c>
    </row>
    <row r="82" customFormat="false" ht="39.75" hidden="false" customHeight="true" outlineLevel="0" collapsed="false">
      <c r="A82" s="7" t="s">
        <v>243</v>
      </c>
      <c r="B82" s="7" t="s">
        <v>428</v>
      </c>
      <c r="C82" s="7" t="s">
        <v>429</v>
      </c>
      <c r="D82" s="7" t="s">
        <v>235</v>
      </c>
      <c r="E82" s="7" t="s">
        <v>254</v>
      </c>
      <c r="F82" s="7" t="s">
        <v>216</v>
      </c>
      <c r="G82" s="7" t="s">
        <v>417</v>
      </c>
      <c r="H82" s="7" t="s">
        <v>211</v>
      </c>
      <c r="I82" s="7" t="s">
        <v>402</v>
      </c>
      <c r="J82" s="7" t="n">
        <v>8</v>
      </c>
      <c r="K82" s="7" t="s">
        <v>204</v>
      </c>
    </row>
    <row r="83" customFormat="false" ht="39.75" hidden="false" customHeight="true" outlineLevel="0" collapsed="false">
      <c r="A83" s="7" t="s">
        <v>243</v>
      </c>
      <c r="B83" s="7" t="s">
        <v>430</v>
      </c>
      <c r="C83" s="7" t="s">
        <v>431</v>
      </c>
      <c r="D83" s="7" t="s">
        <v>235</v>
      </c>
      <c r="E83" s="7" t="s">
        <v>254</v>
      </c>
      <c r="F83" s="7" t="s">
        <v>216</v>
      </c>
      <c r="G83" s="7" t="s">
        <v>417</v>
      </c>
      <c r="H83" s="7" t="s">
        <v>211</v>
      </c>
      <c r="I83" s="7" t="s">
        <v>402</v>
      </c>
      <c r="J83" s="7" t="n">
        <v>5</v>
      </c>
      <c r="K83" s="7" t="s">
        <v>204</v>
      </c>
    </row>
    <row r="84" customFormat="false" ht="39.75" hidden="false" customHeight="true" outlineLevel="0" collapsed="false">
      <c r="A84" s="7" t="s">
        <v>243</v>
      </c>
      <c r="B84" s="7" t="s">
        <v>432</v>
      </c>
      <c r="C84" s="7" t="s">
        <v>433</v>
      </c>
      <c r="D84" s="7" t="s">
        <v>235</v>
      </c>
      <c r="E84" s="7" t="s">
        <v>258</v>
      </c>
      <c r="F84" s="7" t="s">
        <v>216</v>
      </c>
      <c r="G84" s="7" t="s">
        <v>417</v>
      </c>
      <c r="H84" s="7" t="s">
        <v>211</v>
      </c>
      <c r="I84" s="7" t="s">
        <v>402</v>
      </c>
      <c r="J84" s="7" t="n">
        <v>5</v>
      </c>
      <c r="K84" s="7" t="s">
        <v>204</v>
      </c>
    </row>
    <row r="85" customFormat="false" ht="39.75" hidden="false" customHeight="true" outlineLevel="0" collapsed="false">
      <c r="A85" s="7" t="s">
        <v>243</v>
      </c>
      <c r="B85" s="7" t="s">
        <v>434</v>
      </c>
      <c r="C85" s="7" t="s">
        <v>435</v>
      </c>
      <c r="D85" s="7" t="s">
        <v>235</v>
      </c>
      <c r="E85" s="7" t="s">
        <v>258</v>
      </c>
      <c r="F85" s="7" t="s">
        <v>216</v>
      </c>
      <c r="G85" s="7" t="s">
        <v>417</v>
      </c>
      <c r="H85" s="7" t="s">
        <v>211</v>
      </c>
      <c r="I85" s="7" t="s">
        <v>402</v>
      </c>
      <c r="J85" s="7" t="n">
        <v>5</v>
      </c>
      <c r="K85" s="7" t="s">
        <v>204</v>
      </c>
    </row>
    <row r="86" customFormat="false" ht="39.75" hidden="false" customHeight="true" outlineLevel="0" collapsed="false">
      <c r="A86" s="7" t="s">
        <v>243</v>
      </c>
      <c r="B86" s="7" t="s">
        <v>436</v>
      </c>
      <c r="C86" s="7" t="s">
        <v>437</v>
      </c>
      <c r="D86" s="7" t="s">
        <v>203</v>
      </c>
      <c r="E86" s="7" t="s">
        <v>258</v>
      </c>
      <c r="F86" s="7" t="s">
        <v>216</v>
      </c>
      <c r="G86" s="7" t="s">
        <v>417</v>
      </c>
      <c r="H86" s="7" t="s">
        <v>205</v>
      </c>
      <c r="I86" s="7" t="s">
        <v>255</v>
      </c>
      <c r="J86" s="7" t="n">
        <v>5</v>
      </c>
      <c r="K86" s="7" t="s">
        <v>204</v>
      </c>
    </row>
    <row r="87" customFormat="false" ht="39.75" hidden="false" customHeight="true" outlineLevel="0" collapsed="false">
      <c r="A87" s="7" t="s">
        <v>243</v>
      </c>
      <c r="B87" s="7" t="s">
        <v>438</v>
      </c>
      <c r="C87" s="7" t="s">
        <v>439</v>
      </c>
      <c r="D87" s="7" t="s">
        <v>235</v>
      </c>
      <c r="E87" s="7" t="s">
        <v>231</v>
      </c>
      <c r="F87" s="7" t="s">
        <v>216</v>
      </c>
      <c r="G87" s="7" t="s">
        <v>417</v>
      </c>
      <c r="H87" s="7" t="s">
        <v>211</v>
      </c>
      <c r="I87" s="7" t="s">
        <v>287</v>
      </c>
      <c r="J87" s="7" t="n">
        <v>5</v>
      </c>
      <c r="K87" s="7" t="s">
        <v>204</v>
      </c>
    </row>
    <row r="88" customFormat="false" ht="39.75" hidden="false" customHeight="true" outlineLevel="0" collapsed="false">
      <c r="A88" s="7" t="s">
        <v>243</v>
      </c>
      <c r="B88" s="7" t="s">
        <v>440</v>
      </c>
      <c r="C88" s="7" t="s">
        <v>441</v>
      </c>
      <c r="D88" s="7" t="s">
        <v>235</v>
      </c>
      <c r="E88" s="7" t="s">
        <v>246</v>
      </c>
      <c r="F88" s="7" t="s">
        <v>216</v>
      </c>
      <c r="G88" s="7" t="s">
        <v>442</v>
      </c>
      <c r="H88" s="7" t="s">
        <v>211</v>
      </c>
      <c r="I88" s="7" t="s">
        <v>282</v>
      </c>
      <c r="J88" s="7" t="n">
        <v>5</v>
      </c>
      <c r="K88" s="7" t="s">
        <v>204</v>
      </c>
    </row>
    <row r="89" customFormat="false" ht="39.75" hidden="false" customHeight="true" outlineLevel="0" collapsed="false">
      <c r="A89" s="7" t="s">
        <v>243</v>
      </c>
      <c r="B89" s="7" t="s">
        <v>443</v>
      </c>
      <c r="C89" s="7" t="s">
        <v>444</v>
      </c>
      <c r="D89" s="7" t="s">
        <v>235</v>
      </c>
      <c r="E89" s="7" t="s">
        <v>246</v>
      </c>
      <c r="F89" s="7" t="s">
        <v>216</v>
      </c>
      <c r="G89" s="7" t="s">
        <v>442</v>
      </c>
      <c r="H89" s="7" t="s">
        <v>211</v>
      </c>
      <c r="I89" s="7" t="s">
        <v>282</v>
      </c>
      <c r="J89" s="7" t="n">
        <v>5</v>
      </c>
      <c r="K89" s="7" t="s">
        <v>204</v>
      </c>
    </row>
    <row r="90" customFormat="false" ht="39.75" hidden="false" customHeight="true" outlineLevel="0" collapsed="false">
      <c r="A90" s="7" t="s">
        <v>243</v>
      </c>
      <c r="B90" s="7" t="s">
        <v>445</v>
      </c>
      <c r="C90" s="7" t="s">
        <v>446</v>
      </c>
      <c r="D90" s="7" t="s">
        <v>235</v>
      </c>
      <c r="E90" s="7" t="s">
        <v>246</v>
      </c>
      <c r="F90" s="7" t="s">
        <v>216</v>
      </c>
      <c r="G90" s="7" t="s">
        <v>442</v>
      </c>
      <c r="H90" s="7" t="s">
        <v>211</v>
      </c>
      <c r="I90" s="7" t="s">
        <v>282</v>
      </c>
      <c r="J90" s="7" t="n">
        <v>5</v>
      </c>
      <c r="K90" s="7" t="s">
        <v>204</v>
      </c>
    </row>
    <row r="91" customFormat="false" ht="39.75" hidden="false" customHeight="true" outlineLevel="0" collapsed="false">
      <c r="A91" s="7" t="s">
        <v>243</v>
      </c>
      <c r="B91" s="7" t="s">
        <v>447</v>
      </c>
      <c r="C91" s="7" t="s">
        <v>448</v>
      </c>
      <c r="D91" s="7" t="s">
        <v>235</v>
      </c>
      <c r="E91" s="7" t="s">
        <v>251</v>
      </c>
      <c r="F91" s="7" t="s">
        <v>216</v>
      </c>
      <c r="G91" s="7" t="s">
        <v>442</v>
      </c>
      <c r="H91" s="7" t="s">
        <v>211</v>
      </c>
      <c r="I91" s="7" t="s">
        <v>282</v>
      </c>
      <c r="J91" s="7" t="n">
        <v>5</v>
      </c>
      <c r="K91" s="7" t="s">
        <v>204</v>
      </c>
    </row>
    <row r="92" customFormat="false" ht="39.75" hidden="false" customHeight="true" outlineLevel="0" collapsed="false">
      <c r="A92" s="7" t="s">
        <v>243</v>
      </c>
      <c r="B92" s="7" t="s">
        <v>449</v>
      </c>
      <c r="C92" s="7" t="s">
        <v>450</v>
      </c>
      <c r="D92" s="7" t="s">
        <v>235</v>
      </c>
      <c r="E92" s="7" t="s">
        <v>251</v>
      </c>
      <c r="F92" s="7" t="s">
        <v>216</v>
      </c>
      <c r="G92" s="7" t="s">
        <v>442</v>
      </c>
      <c r="H92" s="7" t="s">
        <v>211</v>
      </c>
      <c r="I92" s="7" t="s">
        <v>282</v>
      </c>
      <c r="J92" s="7" t="n">
        <v>5</v>
      </c>
      <c r="K92" s="7" t="s">
        <v>204</v>
      </c>
    </row>
    <row r="93" customFormat="false" ht="39.75" hidden="false" customHeight="true" outlineLevel="0" collapsed="false">
      <c r="A93" s="7" t="s">
        <v>243</v>
      </c>
      <c r="B93" s="7" t="s">
        <v>451</v>
      </c>
      <c r="C93" s="7" t="s">
        <v>452</v>
      </c>
      <c r="D93" s="7" t="s">
        <v>203</v>
      </c>
      <c r="E93" s="7" t="s">
        <v>251</v>
      </c>
      <c r="F93" s="7" t="s">
        <v>216</v>
      </c>
      <c r="G93" s="7" t="s">
        <v>442</v>
      </c>
      <c r="H93" s="7" t="s">
        <v>211</v>
      </c>
      <c r="I93" s="7" t="s">
        <v>282</v>
      </c>
      <c r="J93" s="7" t="n">
        <v>3</v>
      </c>
      <c r="K93" s="7" t="s">
        <v>204</v>
      </c>
    </row>
    <row r="94" customFormat="false" ht="39.75" hidden="false" customHeight="true" outlineLevel="0" collapsed="false">
      <c r="A94" s="7" t="s">
        <v>243</v>
      </c>
      <c r="B94" s="7" t="s">
        <v>453</v>
      </c>
      <c r="C94" s="7" t="s">
        <v>454</v>
      </c>
      <c r="D94" s="7" t="s">
        <v>235</v>
      </c>
      <c r="E94" s="7" t="s">
        <v>254</v>
      </c>
      <c r="F94" s="7" t="s">
        <v>216</v>
      </c>
      <c r="G94" s="7" t="s">
        <v>442</v>
      </c>
      <c r="H94" s="7" t="s">
        <v>211</v>
      </c>
      <c r="I94" s="7" t="s">
        <v>402</v>
      </c>
      <c r="J94" s="7" t="n">
        <v>5</v>
      </c>
      <c r="K94" s="7" t="s">
        <v>204</v>
      </c>
    </row>
    <row r="95" customFormat="false" ht="39.75" hidden="false" customHeight="true" outlineLevel="0" collapsed="false">
      <c r="A95" s="7" t="s">
        <v>243</v>
      </c>
      <c r="B95" s="7" t="s">
        <v>455</v>
      </c>
      <c r="C95" s="7" t="s">
        <v>456</v>
      </c>
      <c r="D95" s="7" t="s">
        <v>235</v>
      </c>
      <c r="E95" s="7" t="s">
        <v>254</v>
      </c>
      <c r="F95" s="7" t="s">
        <v>216</v>
      </c>
      <c r="G95" s="7" t="s">
        <v>442</v>
      </c>
      <c r="H95" s="7" t="s">
        <v>211</v>
      </c>
      <c r="I95" s="7" t="s">
        <v>402</v>
      </c>
      <c r="J95" s="7" t="n">
        <v>5</v>
      </c>
      <c r="K95" s="7" t="s">
        <v>204</v>
      </c>
    </row>
    <row r="96" customFormat="false" ht="39.75" hidden="false" customHeight="true" outlineLevel="0" collapsed="false">
      <c r="A96" s="7" t="s">
        <v>243</v>
      </c>
      <c r="B96" s="7" t="s">
        <v>457</v>
      </c>
      <c r="C96" s="7" t="s">
        <v>458</v>
      </c>
      <c r="D96" s="7" t="s">
        <v>235</v>
      </c>
      <c r="E96" s="7" t="s">
        <v>254</v>
      </c>
      <c r="F96" s="7" t="s">
        <v>216</v>
      </c>
      <c r="G96" s="7" t="s">
        <v>442</v>
      </c>
      <c r="H96" s="7" t="s">
        <v>211</v>
      </c>
      <c r="I96" s="7" t="s">
        <v>402</v>
      </c>
      <c r="J96" s="7" t="n">
        <v>5</v>
      </c>
      <c r="K96" s="7" t="s">
        <v>204</v>
      </c>
    </row>
    <row r="97" customFormat="false" ht="39.75" hidden="false" customHeight="true" outlineLevel="0" collapsed="false">
      <c r="A97" s="7" t="s">
        <v>243</v>
      </c>
      <c r="B97" s="7" t="s">
        <v>459</v>
      </c>
      <c r="C97" s="7" t="s">
        <v>460</v>
      </c>
      <c r="D97" s="7" t="s">
        <v>203</v>
      </c>
      <c r="E97" s="7" t="s">
        <v>258</v>
      </c>
      <c r="F97" s="7" t="s">
        <v>216</v>
      </c>
      <c r="G97" s="7" t="s">
        <v>442</v>
      </c>
      <c r="H97" s="7" t="s">
        <v>211</v>
      </c>
      <c r="I97" s="7" t="s">
        <v>402</v>
      </c>
      <c r="J97" s="7" t="n">
        <v>5</v>
      </c>
      <c r="K97" s="7" t="s">
        <v>204</v>
      </c>
    </row>
    <row r="98" customFormat="false" ht="39.75" hidden="false" customHeight="true" outlineLevel="0" collapsed="false">
      <c r="A98" s="7" t="s">
        <v>243</v>
      </c>
      <c r="B98" s="7" t="s">
        <v>461</v>
      </c>
      <c r="C98" s="7" t="s">
        <v>462</v>
      </c>
      <c r="D98" s="7" t="s">
        <v>235</v>
      </c>
      <c r="E98" s="7" t="s">
        <v>258</v>
      </c>
      <c r="F98" s="7" t="s">
        <v>216</v>
      </c>
      <c r="G98" s="7" t="s">
        <v>442</v>
      </c>
      <c r="H98" s="7" t="s">
        <v>205</v>
      </c>
      <c r="I98" s="7" t="s">
        <v>255</v>
      </c>
      <c r="J98" s="7" t="n">
        <v>5</v>
      </c>
      <c r="K98" s="7" t="s">
        <v>204</v>
      </c>
    </row>
    <row r="99" customFormat="false" ht="39.75" hidden="false" customHeight="true" outlineLevel="0" collapsed="false">
      <c r="A99" s="7" t="s">
        <v>243</v>
      </c>
      <c r="B99" s="7" t="s">
        <v>463</v>
      </c>
      <c r="C99" s="7" t="s">
        <v>464</v>
      </c>
      <c r="D99" s="7" t="s">
        <v>203</v>
      </c>
      <c r="E99" s="7" t="s">
        <v>258</v>
      </c>
      <c r="F99" s="7" t="s">
        <v>216</v>
      </c>
      <c r="G99" s="7" t="s">
        <v>442</v>
      </c>
      <c r="H99" s="7" t="s">
        <v>211</v>
      </c>
      <c r="I99" s="7" t="s">
        <v>402</v>
      </c>
      <c r="J99" s="7" t="n">
        <v>5</v>
      </c>
      <c r="K99" s="7" t="s">
        <v>204</v>
      </c>
    </row>
    <row r="100" customFormat="false" ht="39.75" hidden="false" customHeight="true" outlineLevel="0" collapsed="false">
      <c r="A100" s="7" t="s">
        <v>243</v>
      </c>
      <c r="B100" s="7" t="s">
        <v>465</v>
      </c>
      <c r="C100" s="7" t="s">
        <v>466</v>
      </c>
      <c r="D100" s="7" t="s">
        <v>235</v>
      </c>
      <c r="E100" s="7" t="s">
        <v>231</v>
      </c>
      <c r="F100" s="7" t="s">
        <v>216</v>
      </c>
      <c r="G100" s="7" t="s">
        <v>442</v>
      </c>
      <c r="H100" s="7" t="s">
        <v>211</v>
      </c>
      <c r="I100" s="7" t="s">
        <v>287</v>
      </c>
      <c r="J100" s="7" t="n">
        <v>5</v>
      </c>
      <c r="K100" s="7" t="s">
        <v>204</v>
      </c>
    </row>
    <row r="101" customFormat="false" ht="39.75" hidden="false" customHeight="true" outlineLevel="0" collapsed="false">
      <c r="A101" s="7" t="s">
        <v>243</v>
      </c>
      <c r="B101" s="7" t="s">
        <v>467</v>
      </c>
      <c r="C101" s="7" t="s">
        <v>468</v>
      </c>
      <c r="D101" s="7" t="s">
        <v>235</v>
      </c>
      <c r="E101" s="7" t="s">
        <v>246</v>
      </c>
      <c r="F101" s="7" t="s">
        <v>216</v>
      </c>
      <c r="G101" s="7" t="s">
        <v>469</v>
      </c>
      <c r="H101" s="7" t="s">
        <v>211</v>
      </c>
      <c r="I101" s="7" t="s">
        <v>282</v>
      </c>
      <c r="J101" s="7" t="n">
        <v>5</v>
      </c>
      <c r="K101" s="7" t="s">
        <v>204</v>
      </c>
    </row>
    <row r="102" customFormat="false" ht="39.75" hidden="false" customHeight="true" outlineLevel="0" collapsed="false">
      <c r="A102" s="7" t="s">
        <v>243</v>
      </c>
      <c r="B102" s="7" t="s">
        <v>470</v>
      </c>
      <c r="C102" s="7" t="s">
        <v>471</v>
      </c>
      <c r="D102" s="7" t="s">
        <v>235</v>
      </c>
      <c r="E102" s="7" t="s">
        <v>251</v>
      </c>
      <c r="F102" s="7" t="s">
        <v>216</v>
      </c>
      <c r="G102" s="7" t="s">
        <v>469</v>
      </c>
      <c r="H102" s="7" t="s">
        <v>211</v>
      </c>
      <c r="I102" s="7" t="s">
        <v>282</v>
      </c>
      <c r="J102" s="7" t="n">
        <v>5</v>
      </c>
      <c r="K102" s="7" t="s">
        <v>204</v>
      </c>
    </row>
    <row r="103" customFormat="false" ht="39.75" hidden="false" customHeight="true" outlineLevel="0" collapsed="false">
      <c r="A103" s="7" t="s">
        <v>243</v>
      </c>
      <c r="B103" s="7" t="s">
        <v>472</v>
      </c>
      <c r="C103" s="7" t="s">
        <v>473</v>
      </c>
      <c r="D103" s="7" t="s">
        <v>235</v>
      </c>
      <c r="E103" s="7" t="s">
        <v>246</v>
      </c>
      <c r="F103" s="7" t="s">
        <v>216</v>
      </c>
      <c r="G103" s="7" t="s">
        <v>469</v>
      </c>
      <c r="H103" s="7" t="s">
        <v>211</v>
      </c>
      <c r="I103" s="7" t="s">
        <v>282</v>
      </c>
      <c r="J103" s="7" t="n">
        <v>8</v>
      </c>
      <c r="K103" s="7" t="s">
        <v>204</v>
      </c>
    </row>
    <row r="104" customFormat="false" ht="39.75" hidden="false" customHeight="true" outlineLevel="0" collapsed="false">
      <c r="A104" s="7" t="s">
        <v>243</v>
      </c>
      <c r="B104" s="7" t="s">
        <v>474</v>
      </c>
      <c r="C104" s="7" t="s">
        <v>475</v>
      </c>
      <c r="D104" s="7" t="s">
        <v>235</v>
      </c>
      <c r="E104" s="7" t="s">
        <v>251</v>
      </c>
      <c r="F104" s="7" t="s">
        <v>216</v>
      </c>
      <c r="G104" s="7" t="s">
        <v>469</v>
      </c>
      <c r="H104" s="7" t="s">
        <v>205</v>
      </c>
      <c r="I104" s="7" t="s">
        <v>335</v>
      </c>
      <c r="J104" s="7" t="n">
        <v>5</v>
      </c>
      <c r="K104" s="7" t="s">
        <v>204</v>
      </c>
    </row>
    <row r="105" customFormat="false" ht="39.75" hidden="false" customHeight="true" outlineLevel="0" collapsed="false">
      <c r="A105" s="7" t="s">
        <v>243</v>
      </c>
      <c r="B105" s="7" t="s">
        <v>476</v>
      </c>
      <c r="C105" s="7" t="s">
        <v>477</v>
      </c>
      <c r="D105" s="7" t="s">
        <v>203</v>
      </c>
      <c r="E105" s="7" t="s">
        <v>251</v>
      </c>
      <c r="F105" s="7" t="s">
        <v>216</v>
      </c>
      <c r="G105" s="7" t="s">
        <v>469</v>
      </c>
      <c r="H105" s="7" t="s">
        <v>211</v>
      </c>
      <c r="I105" s="7" t="s">
        <v>282</v>
      </c>
      <c r="J105" s="7" t="n">
        <v>3</v>
      </c>
      <c r="K105" s="7" t="s">
        <v>204</v>
      </c>
    </row>
    <row r="106" customFormat="false" ht="39.75" hidden="false" customHeight="true" outlineLevel="0" collapsed="false">
      <c r="A106" s="7" t="s">
        <v>243</v>
      </c>
      <c r="B106" s="7" t="s">
        <v>478</v>
      </c>
      <c r="C106" s="7" t="s">
        <v>479</v>
      </c>
      <c r="D106" s="7" t="s">
        <v>235</v>
      </c>
      <c r="E106" s="7" t="s">
        <v>254</v>
      </c>
      <c r="F106" s="7" t="s">
        <v>216</v>
      </c>
      <c r="G106" s="7" t="s">
        <v>469</v>
      </c>
      <c r="H106" s="7" t="s">
        <v>211</v>
      </c>
      <c r="I106" s="7" t="s">
        <v>402</v>
      </c>
      <c r="J106" s="7" t="n">
        <v>5</v>
      </c>
      <c r="K106" s="7" t="s">
        <v>204</v>
      </c>
    </row>
    <row r="107" customFormat="false" ht="39.75" hidden="false" customHeight="true" outlineLevel="0" collapsed="false">
      <c r="A107" s="7" t="s">
        <v>243</v>
      </c>
      <c r="B107" s="7" t="s">
        <v>480</v>
      </c>
      <c r="C107" s="7" t="s">
        <v>481</v>
      </c>
      <c r="D107" s="7" t="s">
        <v>235</v>
      </c>
      <c r="E107" s="7" t="s">
        <v>254</v>
      </c>
      <c r="F107" s="7" t="s">
        <v>216</v>
      </c>
      <c r="G107" s="7" t="s">
        <v>469</v>
      </c>
      <c r="H107" s="7" t="s">
        <v>211</v>
      </c>
      <c r="I107" s="7" t="s">
        <v>402</v>
      </c>
      <c r="J107" s="7" t="n">
        <v>8</v>
      </c>
      <c r="K107" s="7" t="s">
        <v>204</v>
      </c>
    </row>
    <row r="108" customFormat="false" ht="39.75" hidden="false" customHeight="true" outlineLevel="0" collapsed="false">
      <c r="A108" s="7" t="s">
        <v>243</v>
      </c>
      <c r="B108" s="7" t="s">
        <v>482</v>
      </c>
      <c r="C108" s="7" t="s">
        <v>483</v>
      </c>
      <c r="D108" s="7" t="s">
        <v>235</v>
      </c>
      <c r="E108" s="7" t="s">
        <v>258</v>
      </c>
      <c r="F108" s="7" t="s">
        <v>216</v>
      </c>
      <c r="G108" s="7" t="s">
        <v>469</v>
      </c>
      <c r="H108" s="7" t="s">
        <v>211</v>
      </c>
      <c r="I108" s="7" t="s">
        <v>402</v>
      </c>
      <c r="J108" s="7" t="n">
        <v>5</v>
      </c>
      <c r="K108" s="7" t="s">
        <v>204</v>
      </c>
    </row>
    <row r="109" customFormat="false" ht="39.75" hidden="false" customHeight="true" outlineLevel="0" collapsed="false">
      <c r="A109" s="7" t="s">
        <v>243</v>
      </c>
      <c r="B109" s="7" t="s">
        <v>484</v>
      </c>
      <c r="C109" s="7" t="s">
        <v>485</v>
      </c>
      <c r="D109" s="7" t="s">
        <v>235</v>
      </c>
      <c r="E109" s="7" t="s">
        <v>258</v>
      </c>
      <c r="F109" s="7" t="s">
        <v>216</v>
      </c>
      <c r="G109" s="7" t="s">
        <v>469</v>
      </c>
      <c r="H109" s="7" t="s">
        <v>211</v>
      </c>
      <c r="I109" s="7" t="s">
        <v>402</v>
      </c>
      <c r="J109" s="7" t="n">
        <v>5</v>
      </c>
      <c r="K109" s="7" t="s">
        <v>204</v>
      </c>
    </row>
    <row r="110" customFormat="false" ht="39.75" hidden="false" customHeight="true" outlineLevel="0" collapsed="false">
      <c r="A110" s="7" t="s">
        <v>243</v>
      </c>
      <c r="B110" s="7" t="s">
        <v>486</v>
      </c>
      <c r="C110" s="7" t="s">
        <v>487</v>
      </c>
      <c r="D110" s="7" t="s">
        <v>203</v>
      </c>
      <c r="E110" s="7" t="s">
        <v>258</v>
      </c>
      <c r="F110" s="7" t="s">
        <v>216</v>
      </c>
      <c r="G110" s="7" t="s">
        <v>469</v>
      </c>
      <c r="H110" s="7" t="s">
        <v>205</v>
      </c>
      <c r="I110" s="7" t="s">
        <v>255</v>
      </c>
      <c r="J110" s="7" t="n">
        <v>3</v>
      </c>
      <c r="K110" s="7" t="s">
        <v>204</v>
      </c>
    </row>
    <row r="111" customFormat="false" ht="39.75" hidden="false" customHeight="true" outlineLevel="0" collapsed="false">
      <c r="A111" s="7" t="s">
        <v>243</v>
      </c>
      <c r="B111" s="7" t="s">
        <v>488</v>
      </c>
      <c r="C111" s="7" t="s">
        <v>489</v>
      </c>
      <c r="D111" s="7" t="s">
        <v>235</v>
      </c>
      <c r="E111" s="7" t="s">
        <v>231</v>
      </c>
      <c r="F111" s="7" t="s">
        <v>216</v>
      </c>
      <c r="G111" s="7" t="s">
        <v>469</v>
      </c>
      <c r="H111" s="7" t="s">
        <v>211</v>
      </c>
      <c r="I111" s="7" t="s">
        <v>287</v>
      </c>
      <c r="J111" s="7" t="n">
        <v>5</v>
      </c>
      <c r="K111" s="7" t="s">
        <v>204</v>
      </c>
    </row>
    <row r="112" customFormat="false" ht="39.75" hidden="false" customHeight="true" outlineLevel="0" collapsed="false">
      <c r="A112" s="7" t="s">
        <v>243</v>
      </c>
      <c r="B112" s="7" t="s">
        <v>490</v>
      </c>
      <c r="C112" s="7" t="s">
        <v>491</v>
      </c>
      <c r="D112" s="7" t="s">
        <v>235</v>
      </c>
      <c r="E112" s="7" t="s">
        <v>231</v>
      </c>
      <c r="F112" s="7" t="s">
        <v>216</v>
      </c>
      <c r="G112" s="7" t="s">
        <v>469</v>
      </c>
      <c r="H112" s="7" t="s">
        <v>211</v>
      </c>
      <c r="I112" s="7" t="s">
        <v>287</v>
      </c>
      <c r="J112" s="7" t="n">
        <v>4</v>
      </c>
      <c r="K112" s="7" t="s">
        <v>204</v>
      </c>
    </row>
    <row r="113" customFormat="false" ht="39.75" hidden="false" customHeight="true" outlineLevel="0" collapsed="false">
      <c r="A113" s="7" t="s">
        <v>243</v>
      </c>
      <c r="B113" s="7" t="s">
        <v>492</v>
      </c>
      <c r="C113" s="7" t="s">
        <v>493</v>
      </c>
      <c r="D113" s="7" t="s">
        <v>203</v>
      </c>
      <c r="E113" s="7" t="s">
        <v>246</v>
      </c>
      <c r="F113" s="7" t="s">
        <v>216</v>
      </c>
      <c r="G113" s="7" t="s">
        <v>494</v>
      </c>
      <c r="H113" s="7" t="s">
        <v>205</v>
      </c>
      <c r="I113" s="7" t="s">
        <v>495</v>
      </c>
      <c r="J113" s="7" t="n">
        <v>5</v>
      </c>
      <c r="K113" s="7" t="s">
        <v>204</v>
      </c>
    </row>
    <row r="114" customFormat="false" ht="39.75" hidden="false" customHeight="true" outlineLevel="0" collapsed="false">
      <c r="A114" s="7" t="s">
        <v>243</v>
      </c>
      <c r="B114" s="7" t="s">
        <v>496</v>
      </c>
      <c r="C114" s="7" t="s">
        <v>497</v>
      </c>
      <c r="D114" s="7" t="s">
        <v>203</v>
      </c>
      <c r="E114" s="7" t="s">
        <v>246</v>
      </c>
      <c r="F114" s="7" t="s">
        <v>216</v>
      </c>
      <c r="G114" s="7" t="s">
        <v>494</v>
      </c>
      <c r="H114" s="7" t="s">
        <v>205</v>
      </c>
      <c r="I114" s="7" t="s">
        <v>335</v>
      </c>
      <c r="J114" s="7" t="n">
        <v>3</v>
      </c>
      <c r="K114" s="7" t="s">
        <v>204</v>
      </c>
    </row>
    <row r="115" customFormat="false" ht="39.75" hidden="false" customHeight="true" outlineLevel="0" collapsed="false">
      <c r="A115" s="7" t="s">
        <v>243</v>
      </c>
      <c r="B115" s="7" t="s">
        <v>498</v>
      </c>
      <c r="C115" s="7" t="s">
        <v>499</v>
      </c>
      <c r="D115" s="7" t="s">
        <v>203</v>
      </c>
      <c r="E115" s="7" t="s">
        <v>251</v>
      </c>
      <c r="F115" s="7" t="s">
        <v>216</v>
      </c>
      <c r="G115" s="7" t="s">
        <v>494</v>
      </c>
      <c r="H115" s="7" t="s">
        <v>211</v>
      </c>
      <c r="I115" s="7" t="s">
        <v>282</v>
      </c>
      <c r="J115" s="7" t="n">
        <v>5</v>
      </c>
      <c r="K115" s="7" t="s">
        <v>204</v>
      </c>
    </row>
    <row r="116" customFormat="false" ht="39.75" hidden="false" customHeight="true" outlineLevel="0" collapsed="false">
      <c r="A116" s="7" t="s">
        <v>243</v>
      </c>
      <c r="B116" s="7" t="s">
        <v>500</v>
      </c>
      <c r="C116" s="7" t="s">
        <v>501</v>
      </c>
      <c r="D116" s="7" t="s">
        <v>203</v>
      </c>
      <c r="E116" s="7" t="s">
        <v>251</v>
      </c>
      <c r="F116" s="7" t="s">
        <v>216</v>
      </c>
      <c r="G116" s="7" t="s">
        <v>494</v>
      </c>
      <c r="H116" s="7" t="s">
        <v>211</v>
      </c>
      <c r="I116" s="7" t="s">
        <v>282</v>
      </c>
      <c r="J116" s="7" t="n">
        <v>3</v>
      </c>
      <c r="K116" s="7" t="s">
        <v>204</v>
      </c>
    </row>
    <row r="117" customFormat="false" ht="39.75" hidden="false" customHeight="true" outlineLevel="0" collapsed="false">
      <c r="A117" s="7" t="s">
        <v>243</v>
      </c>
      <c r="B117" s="7" t="s">
        <v>502</v>
      </c>
      <c r="C117" s="7" t="s">
        <v>503</v>
      </c>
      <c r="D117" s="7" t="s">
        <v>203</v>
      </c>
      <c r="E117" s="7" t="s">
        <v>251</v>
      </c>
      <c r="F117" s="7" t="s">
        <v>216</v>
      </c>
      <c r="G117" s="7" t="s">
        <v>494</v>
      </c>
      <c r="H117" s="7" t="s">
        <v>223</v>
      </c>
      <c r="I117" s="7" t="s">
        <v>282</v>
      </c>
      <c r="J117" s="7" t="n">
        <v>5</v>
      </c>
      <c r="K117" s="7" t="s">
        <v>204</v>
      </c>
    </row>
    <row r="118" customFormat="false" ht="39.75" hidden="false" customHeight="true" outlineLevel="0" collapsed="false">
      <c r="A118" s="7" t="s">
        <v>243</v>
      </c>
      <c r="B118" s="7" t="s">
        <v>504</v>
      </c>
      <c r="C118" s="7" t="s">
        <v>505</v>
      </c>
      <c r="D118" s="7" t="s">
        <v>203</v>
      </c>
      <c r="E118" s="7" t="s">
        <v>254</v>
      </c>
      <c r="F118" s="7" t="s">
        <v>216</v>
      </c>
      <c r="G118" s="7" t="s">
        <v>494</v>
      </c>
      <c r="H118" s="7" t="s">
        <v>211</v>
      </c>
      <c r="I118" s="7" t="s">
        <v>402</v>
      </c>
      <c r="J118" s="7" t="n">
        <v>5</v>
      </c>
      <c r="K118" s="7" t="s">
        <v>204</v>
      </c>
    </row>
    <row r="119" customFormat="false" ht="39.75" hidden="false" customHeight="true" outlineLevel="0" collapsed="false">
      <c r="A119" s="7" t="s">
        <v>243</v>
      </c>
      <c r="B119" s="7" t="s">
        <v>506</v>
      </c>
      <c r="C119" s="7" t="s">
        <v>507</v>
      </c>
      <c r="D119" s="7" t="s">
        <v>203</v>
      </c>
      <c r="E119" s="7" t="s">
        <v>254</v>
      </c>
      <c r="F119" s="7" t="s">
        <v>216</v>
      </c>
      <c r="G119" s="7" t="s">
        <v>494</v>
      </c>
      <c r="H119" s="7" t="s">
        <v>211</v>
      </c>
      <c r="I119" s="7" t="s">
        <v>402</v>
      </c>
      <c r="J119" s="7" t="n">
        <v>5</v>
      </c>
      <c r="K119" s="7" t="s">
        <v>204</v>
      </c>
    </row>
    <row r="120" customFormat="false" ht="39.75" hidden="false" customHeight="true" outlineLevel="0" collapsed="false">
      <c r="A120" s="7" t="s">
        <v>243</v>
      </c>
      <c r="B120" s="7" t="s">
        <v>508</v>
      </c>
      <c r="C120" s="7" t="s">
        <v>509</v>
      </c>
      <c r="D120" s="7" t="s">
        <v>222</v>
      </c>
      <c r="E120" s="7" t="s">
        <v>258</v>
      </c>
      <c r="F120" s="7" t="s">
        <v>216</v>
      </c>
      <c r="G120" s="7" t="s">
        <v>494</v>
      </c>
      <c r="H120" s="7" t="s">
        <v>211</v>
      </c>
      <c r="I120" s="7" t="s">
        <v>402</v>
      </c>
      <c r="J120" s="7" t="n">
        <v>5</v>
      </c>
      <c r="K120" s="7" t="s">
        <v>204</v>
      </c>
    </row>
    <row r="121" customFormat="false" ht="39.75" hidden="false" customHeight="true" outlineLevel="0" collapsed="false">
      <c r="A121" s="7" t="s">
        <v>243</v>
      </c>
      <c r="B121" s="7" t="s">
        <v>510</v>
      </c>
      <c r="C121" s="7" t="s">
        <v>511</v>
      </c>
      <c r="D121" s="7" t="s">
        <v>222</v>
      </c>
      <c r="E121" s="7" t="s">
        <v>258</v>
      </c>
      <c r="F121" s="7" t="s">
        <v>216</v>
      </c>
      <c r="G121" s="7" t="s">
        <v>494</v>
      </c>
      <c r="H121" s="7" t="s">
        <v>211</v>
      </c>
      <c r="I121" s="7" t="s">
        <v>402</v>
      </c>
      <c r="J121" s="7" t="n">
        <v>5</v>
      </c>
      <c r="K121" s="7" t="s">
        <v>204</v>
      </c>
    </row>
    <row r="122" customFormat="false" ht="39.75" hidden="false" customHeight="true" outlineLevel="0" collapsed="false">
      <c r="A122" s="7" t="s">
        <v>243</v>
      </c>
      <c r="B122" s="7" t="s">
        <v>512</v>
      </c>
      <c r="C122" s="7" t="s">
        <v>513</v>
      </c>
      <c r="D122" s="7" t="s">
        <v>203</v>
      </c>
      <c r="E122" s="7" t="s">
        <v>254</v>
      </c>
      <c r="F122" s="7" t="s">
        <v>216</v>
      </c>
      <c r="G122" s="7" t="s">
        <v>494</v>
      </c>
      <c r="H122" s="7" t="s">
        <v>211</v>
      </c>
      <c r="I122" s="7" t="s">
        <v>402</v>
      </c>
      <c r="J122" s="7" t="n">
        <v>5</v>
      </c>
      <c r="K122" s="7" t="s">
        <v>204</v>
      </c>
    </row>
    <row r="123" customFormat="false" ht="39.75" hidden="false" customHeight="true" outlineLevel="0" collapsed="false">
      <c r="A123" s="7" t="s">
        <v>243</v>
      </c>
      <c r="B123" s="7" t="s">
        <v>514</v>
      </c>
      <c r="C123" s="7" t="s">
        <v>515</v>
      </c>
      <c r="D123" s="7" t="s">
        <v>203</v>
      </c>
      <c r="E123" s="7" t="s">
        <v>258</v>
      </c>
      <c r="F123" s="7" t="s">
        <v>216</v>
      </c>
      <c r="G123" s="7" t="s">
        <v>494</v>
      </c>
      <c r="H123" s="7" t="s">
        <v>223</v>
      </c>
      <c r="I123" s="7" t="s">
        <v>402</v>
      </c>
      <c r="J123" s="7" t="n">
        <v>3</v>
      </c>
      <c r="K123" s="7" t="s">
        <v>204</v>
      </c>
    </row>
    <row r="124" customFormat="false" ht="39.75" hidden="false" customHeight="true" outlineLevel="0" collapsed="false">
      <c r="A124" s="7" t="s">
        <v>243</v>
      </c>
      <c r="B124" s="7" t="s">
        <v>516</v>
      </c>
      <c r="C124" s="7" t="s">
        <v>517</v>
      </c>
      <c r="D124" s="7" t="s">
        <v>235</v>
      </c>
      <c r="E124" s="7" t="s">
        <v>231</v>
      </c>
      <c r="F124" s="7" t="s">
        <v>216</v>
      </c>
      <c r="G124" s="7" t="s">
        <v>494</v>
      </c>
      <c r="H124" s="7" t="s">
        <v>211</v>
      </c>
      <c r="I124" s="7" t="s">
        <v>287</v>
      </c>
      <c r="J124" s="7" t="n">
        <v>8</v>
      </c>
      <c r="K124" s="7" t="s">
        <v>204</v>
      </c>
    </row>
    <row r="125" customFormat="false" ht="39.75" hidden="false" customHeight="true" outlineLevel="0" collapsed="false">
      <c r="A125" s="7" t="s">
        <v>243</v>
      </c>
      <c r="B125" s="7" t="s">
        <v>518</v>
      </c>
      <c r="C125" s="7" t="s">
        <v>519</v>
      </c>
      <c r="D125" s="7" t="s">
        <v>203</v>
      </c>
      <c r="E125" s="7" t="s">
        <v>231</v>
      </c>
      <c r="F125" s="7" t="s">
        <v>216</v>
      </c>
      <c r="G125" s="7" t="s">
        <v>494</v>
      </c>
      <c r="H125" s="7" t="s">
        <v>205</v>
      </c>
      <c r="I125" s="7" t="s">
        <v>262</v>
      </c>
      <c r="J125" s="7" t="n">
        <v>5</v>
      </c>
      <c r="K125" s="7" t="s">
        <v>204</v>
      </c>
    </row>
    <row r="126" customFormat="false" ht="39.75" hidden="false" customHeight="true" outlineLevel="0" collapsed="false">
      <c r="A126" s="7" t="s">
        <v>243</v>
      </c>
      <c r="B126" s="7" t="s">
        <v>520</v>
      </c>
      <c r="C126" s="7" t="s">
        <v>521</v>
      </c>
      <c r="D126" s="7" t="s">
        <v>203</v>
      </c>
      <c r="E126" s="7" t="s">
        <v>278</v>
      </c>
      <c r="F126" s="7" t="s">
        <v>216</v>
      </c>
      <c r="G126" s="7" t="s">
        <v>494</v>
      </c>
      <c r="H126" s="7" t="s">
        <v>211</v>
      </c>
      <c r="I126" s="7" t="s">
        <v>279</v>
      </c>
      <c r="J126" s="7" t="n">
        <v>3</v>
      </c>
      <c r="K126" s="7" t="s">
        <v>204</v>
      </c>
    </row>
    <row r="127" customFormat="false" ht="39.75" hidden="false" customHeight="true" outlineLevel="0" collapsed="false">
      <c r="A127" s="7" t="s">
        <v>243</v>
      </c>
      <c r="B127" s="7" t="s">
        <v>522</v>
      </c>
      <c r="C127" s="7" t="s">
        <v>523</v>
      </c>
      <c r="D127" s="7" t="s">
        <v>235</v>
      </c>
      <c r="E127" s="7" t="s">
        <v>246</v>
      </c>
      <c r="F127" s="7" t="s">
        <v>219</v>
      </c>
      <c r="G127" s="7" t="s">
        <v>524</v>
      </c>
      <c r="H127" s="7" t="s">
        <v>223</v>
      </c>
      <c r="I127" s="7" t="s">
        <v>282</v>
      </c>
      <c r="J127" s="7" t="n">
        <v>5</v>
      </c>
      <c r="K127" s="7" t="s">
        <v>204</v>
      </c>
    </row>
    <row r="128" customFormat="false" ht="39.75" hidden="false" customHeight="true" outlineLevel="0" collapsed="false">
      <c r="A128" s="7" t="s">
        <v>243</v>
      </c>
      <c r="B128" s="7" t="s">
        <v>525</v>
      </c>
      <c r="C128" s="7" t="s">
        <v>526</v>
      </c>
      <c r="D128" s="7" t="s">
        <v>235</v>
      </c>
      <c r="E128" s="7" t="s">
        <v>246</v>
      </c>
      <c r="F128" s="7" t="s">
        <v>219</v>
      </c>
      <c r="G128" s="7" t="s">
        <v>524</v>
      </c>
      <c r="H128" s="7" t="s">
        <v>223</v>
      </c>
      <c r="I128" s="7" t="s">
        <v>282</v>
      </c>
      <c r="J128" s="7" t="n">
        <v>5</v>
      </c>
      <c r="K128" s="7" t="s">
        <v>204</v>
      </c>
    </row>
    <row r="129" customFormat="false" ht="39.75" hidden="false" customHeight="true" outlineLevel="0" collapsed="false">
      <c r="A129" s="7" t="s">
        <v>243</v>
      </c>
      <c r="B129" s="7" t="s">
        <v>527</v>
      </c>
      <c r="C129" s="7" t="s">
        <v>528</v>
      </c>
      <c r="D129" s="7" t="s">
        <v>235</v>
      </c>
      <c r="E129" s="7" t="s">
        <v>246</v>
      </c>
      <c r="F129" s="7" t="s">
        <v>219</v>
      </c>
      <c r="G129" s="7" t="s">
        <v>524</v>
      </c>
      <c r="H129" s="7" t="s">
        <v>223</v>
      </c>
      <c r="I129" s="7" t="s">
        <v>282</v>
      </c>
      <c r="J129" s="7" t="n">
        <v>5</v>
      </c>
      <c r="K129" s="7" t="s">
        <v>204</v>
      </c>
    </row>
    <row r="130" customFormat="false" ht="39.75" hidden="false" customHeight="true" outlineLevel="0" collapsed="false">
      <c r="A130" s="7" t="s">
        <v>243</v>
      </c>
      <c r="B130" s="7" t="s">
        <v>529</v>
      </c>
      <c r="C130" s="7" t="s">
        <v>530</v>
      </c>
      <c r="D130" s="7" t="s">
        <v>235</v>
      </c>
      <c r="E130" s="7" t="s">
        <v>251</v>
      </c>
      <c r="F130" s="7" t="s">
        <v>219</v>
      </c>
      <c r="G130" s="7" t="s">
        <v>524</v>
      </c>
      <c r="H130" s="7" t="s">
        <v>223</v>
      </c>
      <c r="I130" s="7" t="s">
        <v>282</v>
      </c>
      <c r="J130" s="7" t="n">
        <v>3</v>
      </c>
      <c r="K130" s="7" t="s">
        <v>204</v>
      </c>
    </row>
    <row r="131" customFormat="false" ht="39.75" hidden="false" customHeight="true" outlineLevel="0" collapsed="false">
      <c r="A131" s="7" t="s">
        <v>243</v>
      </c>
      <c r="B131" s="7" t="s">
        <v>531</v>
      </c>
      <c r="C131" s="7" t="s">
        <v>532</v>
      </c>
      <c r="D131" s="7" t="s">
        <v>235</v>
      </c>
      <c r="E131" s="7" t="s">
        <v>254</v>
      </c>
      <c r="F131" s="7" t="s">
        <v>219</v>
      </c>
      <c r="G131" s="7" t="s">
        <v>524</v>
      </c>
      <c r="H131" s="7" t="s">
        <v>223</v>
      </c>
      <c r="I131" s="7" t="s">
        <v>402</v>
      </c>
      <c r="J131" s="7" t="n">
        <v>5</v>
      </c>
      <c r="K131" s="7" t="s">
        <v>204</v>
      </c>
    </row>
    <row r="132" customFormat="false" ht="39.75" hidden="false" customHeight="true" outlineLevel="0" collapsed="false">
      <c r="A132" s="7" t="s">
        <v>243</v>
      </c>
      <c r="B132" s="7" t="s">
        <v>533</v>
      </c>
      <c r="C132" s="7" t="s">
        <v>534</v>
      </c>
      <c r="D132" s="7" t="s">
        <v>235</v>
      </c>
      <c r="E132" s="7" t="s">
        <v>254</v>
      </c>
      <c r="F132" s="7" t="s">
        <v>219</v>
      </c>
      <c r="G132" s="7" t="s">
        <v>524</v>
      </c>
      <c r="H132" s="7" t="s">
        <v>223</v>
      </c>
      <c r="I132" s="7" t="s">
        <v>402</v>
      </c>
      <c r="J132" s="7" t="n">
        <v>8</v>
      </c>
      <c r="K132" s="7" t="s">
        <v>204</v>
      </c>
    </row>
    <row r="133" customFormat="false" ht="39.75" hidden="false" customHeight="true" outlineLevel="0" collapsed="false">
      <c r="A133" s="7" t="s">
        <v>243</v>
      </c>
      <c r="B133" s="7" t="s">
        <v>535</v>
      </c>
      <c r="C133" s="7" t="s">
        <v>536</v>
      </c>
      <c r="D133" s="7" t="s">
        <v>235</v>
      </c>
      <c r="E133" s="7" t="s">
        <v>258</v>
      </c>
      <c r="F133" s="7" t="s">
        <v>219</v>
      </c>
      <c r="G133" s="7" t="s">
        <v>524</v>
      </c>
      <c r="H133" s="7" t="s">
        <v>223</v>
      </c>
      <c r="I133" s="7" t="s">
        <v>402</v>
      </c>
      <c r="J133" s="7" t="n">
        <v>5</v>
      </c>
      <c r="K133" s="7" t="s">
        <v>204</v>
      </c>
    </row>
    <row r="134" customFormat="false" ht="39.75" hidden="false" customHeight="true" outlineLevel="0" collapsed="false">
      <c r="A134" s="7" t="s">
        <v>243</v>
      </c>
      <c r="B134" s="7" t="s">
        <v>537</v>
      </c>
      <c r="C134" s="7" t="s">
        <v>538</v>
      </c>
      <c r="D134" s="7" t="s">
        <v>235</v>
      </c>
      <c r="E134" s="7" t="s">
        <v>231</v>
      </c>
      <c r="F134" s="7" t="s">
        <v>219</v>
      </c>
      <c r="G134" s="7" t="s">
        <v>524</v>
      </c>
      <c r="H134" s="7" t="s">
        <v>223</v>
      </c>
      <c r="I134" s="7" t="s">
        <v>287</v>
      </c>
      <c r="J134" s="7" t="n">
        <v>5</v>
      </c>
      <c r="K134" s="7" t="s">
        <v>204</v>
      </c>
    </row>
    <row r="135" customFormat="false" ht="39.75" hidden="false" customHeight="true" outlineLevel="0" collapsed="false">
      <c r="A135" s="7" t="s">
        <v>243</v>
      </c>
      <c r="B135" s="7" t="s">
        <v>539</v>
      </c>
      <c r="C135" s="7" t="s">
        <v>540</v>
      </c>
      <c r="D135" s="7" t="s">
        <v>235</v>
      </c>
      <c r="E135" s="7" t="s">
        <v>231</v>
      </c>
      <c r="F135" s="7" t="s">
        <v>219</v>
      </c>
      <c r="G135" s="7" t="s">
        <v>524</v>
      </c>
      <c r="H135" s="7" t="s">
        <v>211</v>
      </c>
      <c r="I135" s="7" t="s">
        <v>287</v>
      </c>
      <c r="J135" s="7" t="n">
        <v>4</v>
      </c>
      <c r="K135" s="7" t="s">
        <v>204</v>
      </c>
    </row>
    <row r="136" customFormat="false" ht="39.75" hidden="false" customHeight="true" outlineLevel="0" collapsed="false">
      <c r="A136" s="7" t="s">
        <v>243</v>
      </c>
      <c r="B136" s="7" t="s">
        <v>541</v>
      </c>
      <c r="C136" s="7" t="s">
        <v>542</v>
      </c>
      <c r="D136" s="7" t="s">
        <v>203</v>
      </c>
      <c r="E136" s="7" t="s">
        <v>246</v>
      </c>
      <c r="F136" s="7" t="s">
        <v>219</v>
      </c>
      <c r="G136" s="7" t="s">
        <v>543</v>
      </c>
      <c r="H136" s="7" t="s">
        <v>223</v>
      </c>
      <c r="I136" s="7" t="s">
        <v>282</v>
      </c>
      <c r="J136" s="7" t="n">
        <v>5</v>
      </c>
      <c r="K136" s="7" t="s">
        <v>204</v>
      </c>
    </row>
    <row r="137" customFormat="false" ht="39.75" hidden="false" customHeight="true" outlineLevel="0" collapsed="false">
      <c r="A137" s="7" t="s">
        <v>243</v>
      </c>
      <c r="B137" s="7" t="s">
        <v>544</v>
      </c>
      <c r="C137" s="7" t="s">
        <v>545</v>
      </c>
      <c r="D137" s="7" t="s">
        <v>203</v>
      </c>
      <c r="E137" s="7" t="s">
        <v>246</v>
      </c>
      <c r="F137" s="7" t="s">
        <v>219</v>
      </c>
      <c r="G137" s="7" t="s">
        <v>543</v>
      </c>
      <c r="H137" s="7" t="s">
        <v>223</v>
      </c>
      <c r="I137" s="7" t="s">
        <v>282</v>
      </c>
      <c r="J137" s="7" t="n">
        <v>5</v>
      </c>
      <c r="K137" s="7" t="s">
        <v>204</v>
      </c>
    </row>
    <row r="138" customFormat="false" ht="39.75" hidden="false" customHeight="true" outlineLevel="0" collapsed="false">
      <c r="A138" s="7" t="s">
        <v>243</v>
      </c>
      <c r="B138" s="7" t="s">
        <v>546</v>
      </c>
      <c r="C138" s="7" t="s">
        <v>547</v>
      </c>
      <c r="D138" s="7" t="s">
        <v>203</v>
      </c>
      <c r="E138" s="7" t="s">
        <v>251</v>
      </c>
      <c r="F138" s="7" t="s">
        <v>219</v>
      </c>
      <c r="G138" s="7" t="s">
        <v>543</v>
      </c>
      <c r="H138" s="7" t="s">
        <v>223</v>
      </c>
      <c r="I138" s="7" t="s">
        <v>282</v>
      </c>
      <c r="J138" s="7" t="n">
        <v>3</v>
      </c>
      <c r="K138" s="7" t="s">
        <v>204</v>
      </c>
    </row>
    <row r="139" customFormat="false" ht="39.75" hidden="false" customHeight="true" outlineLevel="0" collapsed="false">
      <c r="A139" s="7" t="s">
        <v>243</v>
      </c>
      <c r="B139" s="7" t="s">
        <v>548</v>
      </c>
      <c r="C139" s="7" t="s">
        <v>549</v>
      </c>
      <c r="D139" s="7" t="s">
        <v>203</v>
      </c>
      <c r="E139" s="7" t="s">
        <v>251</v>
      </c>
      <c r="F139" s="7" t="s">
        <v>219</v>
      </c>
      <c r="G139" s="7" t="s">
        <v>543</v>
      </c>
      <c r="H139" s="7" t="s">
        <v>223</v>
      </c>
      <c r="I139" s="7" t="s">
        <v>282</v>
      </c>
      <c r="J139" s="7" t="n">
        <v>3</v>
      </c>
      <c r="K139" s="7" t="s">
        <v>204</v>
      </c>
    </row>
    <row r="140" customFormat="false" ht="39.75" hidden="false" customHeight="true" outlineLevel="0" collapsed="false">
      <c r="A140" s="7" t="s">
        <v>243</v>
      </c>
      <c r="B140" s="7" t="s">
        <v>550</v>
      </c>
      <c r="C140" s="7" t="s">
        <v>551</v>
      </c>
      <c r="D140" s="7" t="s">
        <v>203</v>
      </c>
      <c r="E140" s="7" t="s">
        <v>258</v>
      </c>
      <c r="F140" s="7" t="s">
        <v>219</v>
      </c>
      <c r="G140" s="7" t="s">
        <v>543</v>
      </c>
      <c r="H140" s="7" t="s">
        <v>223</v>
      </c>
      <c r="I140" s="7" t="s">
        <v>402</v>
      </c>
      <c r="J140" s="7" t="n">
        <v>8</v>
      </c>
      <c r="K140" s="7" t="s">
        <v>204</v>
      </c>
    </row>
    <row r="141" customFormat="false" ht="39.75" hidden="false" customHeight="true" outlineLevel="0" collapsed="false">
      <c r="A141" s="7" t="s">
        <v>243</v>
      </c>
      <c r="B141" s="7" t="s">
        <v>552</v>
      </c>
      <c r="C141" s="7" t="s">
        <v>553</v>
      </c>
      <c r="D141" s="7" t="s">
        <v>203</v>
      </c>
      <c r="E141" s="7" t="s">
        <v>254</v>
      </c>
      <c r="F141" s="7" t="s">
        <v>219</v>
      </c>
      <c r="G141" s="7" t="s">
        <v>543</v>
      </c>
      <c r="H141" s="7" t="s">
        <v>223</v>
      </c>
      <c r="I141" s="7" t="s">
        <v>402</v>
      </c>
      <c r="J141" s="7" t="n">
        <v>8</v>
      </c>
      <c r="K141" s="7" t="s">
        <v>204</v>
      </c>
    </row>
    <row r="142" customFormat="false" ht="39.75" hidden="false" customHeight="true" outlineLevel="0" collapsed="false">
      <c r="A142" s="7" t="s">
        <v>243</v>
      </c>
      <c r="B142" s="7" t="s">
        <v>554</v>
      </c>
      <c r="C142" s="7" t="s">
        <v>555</v>
      </c>
      <c r="D142" s="7" t="s">
        <v>203</v>
      </c>
      <c r="E142" s="7" t="s">
        <v>254</v>
      </c>
      <c r="F142" s="7" t="s">
        <v>219</v>
      </c>
      <c r="G142" s="7" t="s">
        <v>543</v>
      </c>
      <c r="H142" s="7" t="s">
        <v>223</v>
      </c>
      <c r="I142" s="7" t="s">
        <v>402</v>
      </c>
      <c r="J142" s="7" t="n">
        <v>5</v>
      </c>
      <c r="K142" s="7" t="s">
        <v>204</v>
      </c>
    </row>
    <row r="143" customFormat="false" ht="39.75" hidden="false" customHeight="true" outlineLevel="0" collapsed="false">
      <c r="A143" s="7" t="s">
        <v>243</v>
      </c>
      <c r="B143" s="7" t="s">
        <v>556</v>
      </c>
      <c r="C143" s="7" t="s">
        <v>557</v>
      </c>
      <c r="D143" s="7" t="s">
        <v>203</v>
      </c>
      <c r="E143" s="7" t="s">
        <v>258</v>
      </c>
      <c r="F143" s="7" t="s">
        <v>219</v>
      </c>
      <c r="G143" s="7" t="s">
        <v>543</v>
      </c>
      <c r="H143" s="7" t="s">
        <v>223</v>
      </c>
      <c r="I143" s="7" t="s">
        <v>402</v>
      </c>
      <c r="J143" s="7" t="n">
        <v>5</v>
      </c>
      <c r="K143" s="7" t="s">
        <v>204</v>
      </c>
    </row>
    <row r="144" customFormat="false" ht="39.75" hidden="false" customHeight="true" outlineLevel="0" collapsed="false">
      <c r="A144" s="7" t="s">
        <v>243</v>
      </c>
      <c r="B144" s="7" t="s">
        <v>558</v>
      </c>
      <c r="C144" s="7" t="s">
        <v>559</v>
      </c>
      <c r="D144" s="7" t="s">
        <v>203</v>
      </c>
      <c r="E144" s="7" t="s">
        <v>231</v>
      </c>
      <c r="F144" s="7" t="s">
        <v>219</v>
      </c>
      <c r="G144" s="7" t="s">
        <v>543</v>
      </c>
      <c r="H144" s="7" t="s">
        <v>223</v>
      </c>
      <c r="I144" s="7" t="s">
        <v>287</v>
      </c>
      <c r="J144" s="7" t="n">
        <v>3</v>
      </c>
      <c r="K144" s="7" t="s">
        <v>204</v>
      </c>
    </row>
    <row r="145" customFormat="false" ht="39.75" hidden="false" customHeight="true" outlineLevel="0" collapsed="false">
      <c r="A145" s="7" t="s">
        <v>243</v>
      </c>
      <c r="B145" s="7" t="s">
        <v>560</v>
      </c>
      <c r="C145" s="7" t="s">
        <v>561</v>
      </c>
      <c r="D145" s="7" t="s">
        <v>203</v>
      </c>
      <c r="E145" s="7" t="s">
        <v>246</v>
      </c>
      <c r="F145" s="7" t="s">
        <v>219</v>
      </c>
      <c r="G145" s="7" t="s">
        <v>562</v>
      </c>
      <c r="H145" s="7" t="s">
        <v>223</v>
      </c>
      <c r="I145" s="7" t="s">
        <v>282</v>
      </c>
      <c r="J145" s="7" t="n">
        <v>5</v>
      </c>
      <c r="K145" s="7" t="s">
        <v>204</v>
      </c>
    </row>
    <row r="146" customFormat="false" ht="39.75" hidden="false" customHeight="true" outlineLevel="0" collapsed="false">
      <c r="A146" s="7" t="s">
        <v>243</v>
      </c>
      <c r="B146" s="7" t="s">
        <v>563</v>
      </c>
      <c r="C146" s="7" t="s">
        <v>564</v>
      </c>
      <c r="D146" s="7" t="s">
        <v>203</v>
      </c>
      <c r="E146" s="7" t="s">
        <v>246</v>
      </c>
      <c r="F146" s="7" t="s">
        <v>219</v>
      </c>
      <c r="G146" s="7" t="s">
        <v>562</v>
      </c>
      <c r="H146" s="7" t="s">
        <v>223</v>
      </c>
      <c r="I146" s="7" t="s">
        <v>282</v>
      </c>
      <c r="J146" s="7" t="n">
        <v>3</v>
      </c>
      <c r="K146" s="7" t="s">
        <v>204</v>
      </c>
    </row>
    <row r="147" customFormat="false" ht="39.75" hidden="false" customHeight="true" outlineLevel="0" collapsed="false">
      <c r="A147" s="7" t="s">
        <v>243</v>
      </c>
      <c r="B147" s="7" t="s">
        <v>565</v>
      </c>
      <c r="C147" s="7" t="s">
        <v>566</v>
      </c>
      <c r="D147" s="7" t="s">
        <v>203</v>
      </c>
      <c r="E147" s="7" t="s">
        <v>251</v>
      </c>
      <c r="F147" s="7" t="s">
        <v>219</v>
      </c>
      <c r="G147" s="7" t="s">
        <v>562</v>
      </c>
      <c r="H147" s="7" t="s">
        <v>223</v>
      </c>
      <c r="I147" s="7" t="s">
        <v>282</v>
      </c>
      <c r="J147" s="7" t="n">
        <v>5</v>
      </c>
      <c r="K147" s="7" t="s">
        <v>204</v>
      </c>
    </row>
    <row r="148" customFormat="false" ht="39.75" hidden="false" customHeight="true" outlineLevel="0" collapsed="false">
      <c r="A148" s="7" t="s">
        <v>243</v>
      </c>
      <c r="B148" s="7" t="s">
        <v>567</v>
      </c>
      <c r="C148" s="7" t="s">
        <v>568</v>
      </c>
      <c r="D148" s="7" t="s">
        <v>203</v>
      </c>
      <c r="E148" s="7" t="s">
        <v>251</v>
      </c>
      <c r="F148" s="7" t="s">
        <v>219</v>
      </c>
      <c r="G148" s="7" t="s">
        <v>562</v>
      </c>
      <c r="H148" s="7" t="s">
        <v>223</v>
      </c>
      <c r="I148" s="7" t="s">
        <v>282</v>
      </c>
      <c r="J148" s="7" t="n">
        <v>3</v>
      </c>
      <c r="K148" s="7" t="s">
        <v>204</v>
      </c>
    </row>
    <row r="149" customFormat="false" ht="39.75" hidden="false" customHeight="true" outlineLevel="0" collapsed="false">
      <c r="A149" s="7" t="s">
        <v>243</v>
      </c>
      <c r="B149" s="7" t="s">
        <v>569</v>
      </c>
      <c r="C149" s="7" t="s">
        <v>570</v>
      </c>
      <c r="D149" s="7" t="s">
        <v>203</v>
      </c>
      <c r="E149" s="7" t="s">
        <v>246</v>
      </c>
      <c r="F149" s="7" t="s">
        <v>219</v>
      </c>
      <c r="G149" s="7" t="s">
        <v>562</v>
      </c>
      <c r="H149" s="7" t="s">
        <v>223</v>
      </c>
      <c r="I149" s="7" t="s">
        <v>282</v>
      </c>
      <c r="J149" s="7" t="n">
        <v>5</v>
      </c>
      <c r="K149" s="7" t="s">
        <v>204</v>
      </c>
    </row>
    <row r="150" customFormat="false" ht="39.75" hidden="false" customHeight="true" outlineLevel="0" collapsed="false">
      <c r="A150" s="7" t="s">
        <v>243</v>
      </c>
      <c r="B150" s="7" t="s">
        <v>571</v>
      </c>
      <c r="C150" s="7" t="s">
        <v>572</v>
      </c>
      <c r="D150" s="7" t="s">
        <v>203</v>
      </c>
      <c r="E150" s="7" t="s">
        <v>254</v>
      </c>
      <c r="F150" s="7" t="s">
        <v>219</v>
      </c>
      <c r="G150" s="7" t="s">
        <v>562</v>
      </c>
      <c r="H150" s="7" t="s">
        <v>223</v>
      </c>
      <c r="I150" s="7" t="s">
        <v>402</v>
      </c>
      <c r="J150" s="7" t="n">
        <v>8</v>
      </c>
      <c r="K150" s="7" t="s">
        <v>204</v>
      </c>
    </row>
    <row r="151" customFormat="false" ht="39.75" hidden="false" customHeight="true" outlineLevel="0" collapsed="false">
      <c r="A151" s="7" t="s">
        <v>243</v>
      </c>
      <c r="B151" s="7" t="s">
        <v>573</v>
      </c>
      <c r="C151" s="7" t="s">
        <v>574</v>
      </c>
      <c r="D151" s="7" t="s">
        <v>203</v>
      </c>
      <c r="E151" s="7" t="s">
        <v>254</v>
      </c>
      <c r="F151" s="7" t="s">
        <v>219</v>
      </c>
      <c r="G151" s="7" t="s">
        <v>562</v>
      </c>
      <c r="H151" s="7" t="s">
        <v>223</v>
      </c>
      <c r="I151" s="7" t="s">
        <v>402</v>
      </c>
      <c r="J151" s="7" t="n">
        <v>5</v>
      </c>
      <c r="K151" s="7" t="s">
        <v>204</v>
      </c>
    </row>
    <row r="152" customFormat="false" ht="39.75" hidden="false" customHeight="true" outlineLevel="0" collapsed="false">
      <c r="A152" s="7" t="s">
        <v>243</v>
      </c>
      <c r="B152" s="7" t="s">
        <v>575</v>
      </c>
      <c r="C152" s="7" t="s">
        <v>576</v>
      </c>
      <c r="D152" s="7" t="s">
        <v>203</v>
      </c>
      <c r="E152" s="7" t="s">
        <v>258</v>
      </c>
      <c r="F152" s="7" t="s">
        <v>219</v>
      </c>
      <c r="G152" s="7" t="s">
        <v>562</v>
      </c>
      <c r="H152" s="7" t="s">
        <v>223</v>
      </c>
      <c r="I152" s="7" t="s">
        <v>402</v>
      </c>
      <c r="J152" s="7" t="n">
        <v>5</v>
      </c>
      <c r="K152" s="7" t="s">
        <v>204</v>
      </c>
    </row>
    <row r="153" customFormat="false" ht="39.75" hidden="false" customHeight="true" outlineLevel="0" collapsed="false">
      <c r="A153" s="7" t="s">
        <v>243</v>
      </c>
      <c r="B153" s="7" t="s">
        <v>577</v>
      </c>
      <c r="C153" s="7" t="s">
        <v>578</v>
      </c>
      <c r="D153" s="7" t="s">
        <v>203</v>
      </c>
      <c r="E153" s="7" t="s">
        <v>258</v>
      </c>
      <c r="F153" s="7" t="s">
        <v>219</v>
      </c>
      <c r="G153" s="7" t="s">
        <v>562</v>
      </c>
      <c r="H153" s="7" t="s">
        <v>223</v>
      </c>
      <c r="I153" s="7" t="s">
        <v>402</v>
      </c>
      <c r="J153" s="7" t="n">
        <v>3</v>
      </c>
      <c r="K153" s="7" t="s">
        <v>204</v>
      </c>
    </row>
    <row r="154" customFormat="false" ht="39.75" hidden="false" customHeight="true" outlineLevel="0" collapsed="false">
      <c r="A154" s="7" t="s">
        <v>243</v>
      </c>
      <c r="B154" s="7" t="s">
        <v>579</v>
      </c>
      <c r="C154" s="7" t="s">
        <v>580</v>
      </c>
      <c r="D154" s="7" t="s">
        <v>203</v>
      </c>
      <c r="E154" s="7" t="s">
        <v>231</v>
      </c>
      <c r="F154" s="7" t="s">
        <v>219</v>
      </c>
      <c r="G154" s="7" t="s">
        <v>562</v>
      </c>
      <c r="H154" s="7" t="s">
        <v>223</v>
      </c>
      <c r="I154" s="7" t="s">
        <v>287</v>
      </c>
      <c r="J154" s="7" t="n">
        <v>3</v>
      </c>
      <c r="K154" s="7" t="s">
        <v>204</v>
      </c>
    </row>
    <row r="155" customFormat="false" ht="39.75" hidden="false" customHeight="true" outlineLevel="0" collapsed="false">
      <c r="A155" s="7" t="s">
        <v>243</v>
      </c>
      <c r="B155" s="7" t="s">
        <v>581</v>
      </c>
      <c r="C155" s="7" t="s">
        <v>582</v>
      </c>
      <c r="D155" s="7" t="s">
        <v>235</v>
      </c>
      <c r="E155" s="7" t="s">
        <v>246</v>
      </c>
      <c r="F155" s="7" t="s">
        <v>219</v>
      </c>
      <c r="G155" s="7" t="s">
        <v>583</v>
      </c>
      <c r="H155" s="7" t="s">
        <v>205</v>
      </c>
      <c r="I155" s="7" t="s">
        <v>584</v>
      </c>
      <c r="J155" s="7" t="n">
        <v>8</v>
      </c>
      <c r="K155" s="7" t="s">
        <v>204</v>
      </c>
    </row>
    <row r="156" customFormat="false" ht="39.75" hidden="false" customHeight="true" outlineLevel="0" collapsed="false">
      <c r="A156" s="7" t="s">
        <v>243</v>
      </c>
      <c r="B156" s="7" t="s">
        <v>585</v>
      </c>
      <c r="C156" s="7" t="s">
        <v>586</v>
      </c>
      <c r="D156" s="7" t="s">
        <v>203</v>
      </c>
      <c r="E156" s="7" t="s">
        <v>251</v>
      </c>
      <c r="F156" s="7" t="s">
        <v>219</v>
      </c>
      <c r="G156" s="7" t="s">
        <v>583</v>
      </c>
      <c r="H156" s="7" t="s">
        <v>205</v>
      </c>
      <c r="I156" s="7" t="s">
        <v>495</v>
      </c>
      <c r="J156" s="7" t="n">
        <v>8</v>
      </c>
      <c r="K156" s="7" t="s">
        <v>204</v>
      </c>
    </row>
    <row r="157" customFormat="false" ht="39.75" hidden="false" customHeight="true" outlineLevel="0" collapsed="false">
      <c r="A157" s="7" t="s">
        <v>243</v>
      </c>
      <c r="B157" s="7" t="s">
        <v>587</v>
      </c>
      <c r="C157" s="7" t="s">
        <v>588</v>
      </c>
      <c r="D157" s="7" t="s">
        <v>203</v>
      </c>
      <c r="E157" s="7" t="s">
        <v>254</v>
      </c>
      <c r="F157" s="7" t="s">
        <v>219</v>
      </c>
      <c r="G157" s="7" t="s">
        <v>583</v>
      </c>
      <c r="H157" s="7" t="s">
        <v>205</v>
      </c>
      <c r="I157" s="7" t="s">
        <v>589</v>
      </c>
      <c r="J157" s="7" t="n">
        <v>5</v>
      </c>
      <c r="K157" s="7" t="s">
        <v>204</v>
      </c>
    </row>
    <row r="158" customFormat="false" ht="39.75" hidden="false" customHeight="true" outlineLevel="0" collapsed="false">
      <c r="A158" s="7" t="s">
        <v>243</v>
      </c>
      <c r="B158" s="7" t="s">
        <v>590</v>
      </c>
      <c r="C158" s="7" t="s">
        <v>591</v>
      </c>
      <c r="D158" s="7" t="s">
        <v>203</v>
      </c>
      <c r="E158" s="7" t="s">
        <v>254</v>
      </c>
      <c r="F158" s="7" t="s">
        <v>219</v>
      </c>
      <c r="G158" s="7" t="s">
        <v>583</v>
      </c>
      <c r="H158" s="7" t="s">
        <v>205</v>
      </c>
      <c r="I158" s="7" t="s">
        <v>255</v>
      </c>
      <c r="J158" s="7" t="n">
        <v>5</v>
      </c>
      <c r="K158" s="7" t="s">
        <v>204</v>
      </c>
    </row>
    <row r="159" customFormat="false" ht="39.75" hidden="false" customHeight="true" outlineLevel="0" collapsed="false">
      <c r="A159" s="7" t="s">
        <v>243</v>
      </c>
      <c r="B159" s="7" t="s">
        <v>592</v>
      </c>
      <c r="C159" s="7" t="s">
        <v>593</v>
      </c>
      <c r="D159" s="7" t="s">
        <v>235</v>
      </c>
      <c r="E159" s="7" t="s">
        <v>258</v>
      </c>
      <c r="F159" s="7" t="s">
        <v>219</v>
      </c>
      <c r="G159" s="7" t="s">
        <v>583</v>
      </c>
      <c r="H159" s="7" t="s">
        <v>211</v>
      </c>
      <c r="I159" s="7" t="s">
        <v>594</v>
      </c>
      <c r="J159" s="7" t="n">
        <v>5</v>
      </c>
      <c r="K159" s="7" t="s">
        <v>204</v>
      </c>
    </row>
    <row r="160" customFormat="false" ht="39.75" hidden="false" customHeight="true" outlineLevel="0" collapsed="false">
      <c r="A160" s="7" t="s">
        <v>243</v>
      </c>
      <c r="B160" s="7" t="s">
        <v>595</v>
      </c>
      <c r="C160" s="7" t="s">
        <v>596</v>
      </c>
      <c r="D160" s="7" t="s">
        <v>235</v>
      </c>
      <c r="E160" s="7" t="s">
        <v>258</v>
      </c>
      <c r="F160" s="7" t="s">
        <v>219</v>
      </c>
      <c r="G160" s="7" t="s">
        <v>583</v>
      </c>
      <c r="H160" s="7" t="s">
        <v>223</v>
      </c>
      <c r="I160" s="7" t="s">
        <v>594</v>
      </c>
      <c r="J160" s="7" t="n">
        <v>5</v>
      </c>
      <c r="K160" s="7" t="s">
        <v>204</v>
      </c>
    </row>
    <row r="161" customFormat="false" ht="39.75" hidden="false" customHeight="true" outlineLevel="0" collapsed="false">
      <c r="A161" s="7" t="s">
        <v>243</v>
      </c>
      <c r="B161" s="7" t="s">
        <v>597</v>
      </c>
      <c r="C161" s="7" t="s">
        <v>598</v>
      </c>
      <c r="D161" s="7" t="s">
        <v>235</v>
      </c>
      <c r="E161" s="7" t="s">
        <v>231</v>
      </c>
      <c r="F161" s="7" t="s">
        <v>219</v>
      </c>
      <c r="G161" s="7" t="s">
        <v>583</v>
      </c>
      <c r="H161" s="7" t="s">
        <v>205</v>
      </c>
      <c r="I161" s="7" t="s">
        <v>262</v>
      </c>
      <c r="J161" s="7" t="n">
        <v>8</v>
      </c>
      <c r="K161" s="7" t="s">
        <v>204</v>
      </c>
    </row>
    <row r="162" customFormat="false" ht="39.75" hidden="false" customHeight="true" outlineLevel="0" collapsed="false">
      <c r="A162" s="7" t="s">
        <v>243</v>
      </c>
      <c r="B162" s="7" t="s">
        <v>599</v>
      </c>
      <c r="C162" s="7" t="s">
        <v>600</v>
      </c>
      <c r="D162" s="7" t="s">
        <v>203</v>
      </c>
      <c r="E162" s="7" t="s">
        <v>251</v>
      </c>
      <c r="F162" s="7" t="s">
        <v>219</v>
      </c>
      <c r="G162" s="7" t="s">
        <v>583</v>
      </c>
      <c r="H162" s="7" t="s">
        <v>205</v>
      </c>
      <c r="I162" s="7" t="s">
        <v>248</v>
      </c>
      <c r="J162" s="7" t="n">
        <v>3</v>
      </c>
      <c r="K162" s="7" t="s">
        <v>204</v>
      </c>
    </row>
    <row r="163" customFormat="false" ht="39.75" hidden="false" customHeight="true" outlineLevel="0" collapsed="false">
      <c r="A163" s="7" t="s">
        <v>243</v>
      </c>
      <c r="B163" s="7" t="s">
        <v>601</v>
      </c>
      <c r="C163" s="7" t="s">
        <v>602</v>
      </c>
      <c r="D163" s="7" t="s">
        <v>235</v>
      </c>
      <c r="E163" s="7" t="s">
        <v>246</v>
      </c>
      <c r="F163" s="7" t="s">
        <v>224</v>
      </c>
      <c r="G163" s="7" t="s">
        <v>603</v>
      </c>
      <c r="H163" s="7" t="s">
        <v>205</v>
      </c>
      <c r="I163" s="7" t="s">
        <v>604</v>
      </c>
      <c r="J163" s="7" t="n">
        <v>5</v>
      </c>
      <c r="K163" s="7" t="s">
        <v>204</v>
      </c>
    </row>
    <row r="164" customFormat="false" ht="39.75" hidden="false" customHeight="true" outlineLevel="0" collapsed="false">
      <c r="A164" s="7" t="s">
        <v>243</v>
      </c>
      <c r="B164" s="7" t="s">
        <v>605</v>
      </c>
      <c r="C164" s="7" t="s">
        <v>606</v>
      </c>
      <c r="D164" s="7" t="s">
        <v>235</v>
      </c>
      <c r="E164" s="7" t="s">
        <v>251</v>
      </c>
      <c r="F164" s="7" t="s">
        <v>224</v>
      </c>
      <c r="G164" s="7" t="s">
        <v>603</v>
      </c>
      <c r="H164" s="7" t="s">
        <v>205</v>
      </c>
      <c r="I164" s="7" t="s">
        <v>335</v>
      </c>
      <c r="J164" s="7" t="n">
        <v>5</v>
      </c>
      <c r="K164" s="7" t="s">
        <v>204</v>
      </c>
    </row>
    <row r="165" customFormat="false" ht="39.75" hidden="false" customHeight="true" outlineLevel="0" collapsed="false">
      <c r="A165" s="7" t="s">
        <v>243</v>
      </c>
      <c r="B165" s="7" t="s">
        <v>607</v>
      </c>
      <c r="C165" s="7" t="s">
        <v>608</v>
      </c>
      <c r="D165" s="7" t="s">
        <v>235</v>
      </c>
      <c r="E165" s="7" t="s">
        <v>246</v>
      </c>
      <c r="F165" s="7" t="s">
        <v>224</v>
      </c>
      <c r="G165" s="7" t="s">
        <v>603</v>
      </c>
      <c r="H165" s="7" t="s">
        <v>205</v>
      </c>
      <c r="I165" s="7" t="s">
        <v>584</v>
      </c>
      <c r="J165" s="7" t="n">
        <v>8</v>
      </c>
      <c r="K165" s="7" t="s">
        <v>204</v>
      </c>
    </row>
    <row r="166" customFormat="false" ht="39.75" hidden="false" customHeight="true" outlineLevel="0" collapsed="false">
      <c r="A166" s="7" t="s">
        <v>243</v>
      </c>
      <c r="B166" s="7" t="s">
        <v>609</v>
      </c>
      <c r="C166" s="7" t="s">
        <v>610</v>
      </c>
      <c r="D166" s="7" t="s">
        <v>235</v>
      </c>
      <c r="E166" s="7" t="s">
        <v>251</v>
      </c>
      <c r="F166" s="7" t="s">
        <v>224</v>
      </c>
      <c r="G166" s="7" t="s">
        <v>603</v>
      </c>
      <c r="H166" s="7" t="s">
        <v>205</v>
      </c>
      <c r="I166" s="7" t="s">
        <v>584</v>
      </c>
      <c r="J166" s="7" t="n">
        <v>5</v>
      </c>
      <c r="K166" s="7" t="s">
        <v>204</v>
      </c>
    </row>
    <row r="167" customFormat="false" ht="39.75" hidden="false" customHeight="true" outlineLevel="0" collapsed="false">
      <c r="A167" s="7" t="s">
        <v>243</v>
      </c>
      <c r="B167" s="7" t="s">
        <v>611</v>
      </c>
      <c r="C167" s="7" t="s">
        <v>612</v>
      </c>
      <c r="D167" s="7" t="s">
        <v>235</v>
      </c>
      <c r="E167" s="7" t="s">
        <v>246</v>
      </c>
      <c r="F167" s="7" t="s">
        <v>224</v>
      </c>
      <c r="G167" s="7" t="s">
        <v>603</v>
      </c>
      <c r="H167" s="7" t="s">
        <v>205</v>
      </c>
      <c r="I167" s="7" t="s">
        <v>613</v>
      </c>
      <c r="J167" s="7" t="n">
        <v>5</v>
      </c>
      <c r="K167" s="7" t="s">
        <v>204</v>
      </c>
    </row>
    <row r="168" customFormat="false" ht="39.75" hidden="false" customHeight="true" outlineLevel="0" collapsed="false">
      <c r="A168" s="7" t="s">
        <v>243</v>
      </c>
      <c r="B168" s="7" t="s">
        <v>614</v>
      </c>
      <c r="C168" s="7" t="s">
        <v>615</v>
      </c>
      <c r="D168" s="7" t="s">
        <v>235</v>
      </c>
      <c r="E168" s="7" t="s">
        <v>254</v>
      </c>
      <c r="F168" s="7" t="s">
        <v>224</v>
      </c>
      <c r="G168" s="7" t="s">
        <v>603</v>
      </c>
      <c r="H168" s="7" t="s">
        <v>205</v>
      </c>
      <c r="I168" s="7" t="s">
        <v>616</v>
      </c>
      <c r="J168" s="7" t="n">
        <v>5</v>
      </c>
      <c r="K168" s="7" t="s">
        <v>204</v>
      </c>
    </row>
    <row r="169" customFormat="false" ht="39.75" hidden="false" customHeight="true" outlineLevel="0" collapsed="false">
      <c r="A169" s="7" t="s">
        <v>243</v>
      </c>
      <c r="B169" s="7" t="s">
        <v>617</v>
      </c>
      <c r="C169" s="7" t="s">
        <v>618</v>
      </c>
      <c r="D169" s="7" t="s">
        <v>203</v>
      </c>
      <c r="E169" s="7" t="s">
        <v>258</v>
      </c>
      <c r="F169" s="7" t="s">
        <v>224</v>
      </c>
      <c r="G169" s="7" t="s">
        <v>603</v>
      </c>
      <c r="H169" s="7" t="s">
        <v>205</v>
      </c>
      <c r="I169" s="7" t="s">
        <v>616</v>
      </c>
      <c r="J169" s="7" t="n">
        <v>3</v>
      </c>
      <c r="K169" s="7" t="s">
        <v>204</v>
      </c>
    </row>
    <row r="170" customFormat="false" ht="39.75" hidden="false" customHeight="true" outlineLevel="0" collapsed="false">
      <c r="A170" s="7" t="s">
        <v>243</v>
      </c>
      <c r="B170" s="7" t="s">
        <v>619</v>
      </c>
      <c r="C170" s="7" t="s">
        <v>620</v>
      </c>
      <c r="D170" s="7" t="s">
        <v>235</v>
      </c>
      <c r="E170" s="7" t="s">
        <v>251</v>
      </c>
      <c r="F170" s="7" t="s">
        <v>224</v>
      </c>
      <c r="G170" s="7" t="s">
        <v>603</v>
      </c>
      <c r="H170" s="7" t="s">
        <v>205</v>
      </c>
      <c r="I170" s="7" t="s">
        <v>248</v>
      </c>
      <c r="J170" s="7" t="n">
        <v>5</v>
      </c>
      <c r="K170" s="7" t="s">
        <v>204</v>
      </c>
    </row>
    <row r="171" customFormat="false" ht="39.75" hidden="false" customHeight="true" outlineLevel="0" collapsed="false">
      <c r="A171" s="7" t="s">
        <v>243</v>
      </c>
      <c r="B171" s="7" t="s">
        <v>621</v>
      </c>
      <c r="C171" s="7" t="s">
        <v>622</v>
      </c>
      <c r="D171" s="7" t="s">
        <v>235</v>
      </c>
      <c r="E171" s="7" t="s">
        <v>231</v>
      </c>
      <c r="F171" s="7" t="s">
        <v>224</v>
      </c>
      <c r="G171" s="7" t="s">
        <v>603</v>
      </c>
      <c r="H171" s="7" t="s">
        <v>205</v>
      </c>
      <c r="I171" s="7" t="s">
        <v>262</v>
      </c>
      <c r="J171" s="7" t="n">
        <v>3</v>
      </c>
      <c r="K171" s="7" t="s">
        <v>204</v>
      </c>
    </row>
    <row r="172" customFormat="false" ht="39.75" hidden="false" customHeight="true" outlineLevel="0" collapsed="false">
      <c r="A172" s="7" t="s">
        <v>243</v>
      </c>
      <c r="B172" s="7" t="s">
        <v>623</v>
      </c>
      <c r="C172" s="7" t="s">
        <v>624</v>
      </c>
      <c r="D172" s="7" t="s">
        <v>235</v>
      </c>
      <c r="E172" s="7" t="s">
        <v>246</v>
      </c>
      <c r="F172" s="7" t="s">
        <v>224</v>
      </c>
      <c r="G172" s="7" t="s">
        <v>625</v>
      </c>
      <c r="H172" s="7" t="s">
        <v>205</v>
      </c>
      <c r="I172" s="7" t="s">
        <v>584</v>
      </c>
      <c r="J172" s="7" t="n">
        <v>8</v>
      </c>
      <c r="K172" s="7" t="s">
        <v>204</v>
      </c>
    </row>
    <row r="173" customFormat="false" ht="39.75" hidden="false" customHeight="true" outlineLevel="0" collapsed="false">
      <c r="A173" s="7" t="s">
        <v>243</v>
      </c>
      <c r="B173" s="7" t="s">
        <v>626</v>
      </c>
      <c r="C173" s="7" t="s">
        <v>627</v>
      </c>
      <c r="D173" s="7" t="s">
        <v>235</v>
      </c>
      <c r="E173" s="7" t="s">
        <v>251</v>
      </c>
      <c r="F173" s="7" t="s">
        <v>224</v>
      </c>
      <c r="G173" s="7" t="s">
        <v>625</v>
      </c>
      <c r="H173" s="7" t="s">
        <v>205</v>
      </c>
      <c r="I173" s="7" t="s">
        <v>584</v>
      </c>
      <c r="J173" s="7" t="n">
        <v>5</v>
      </c>
      <c r="K173" s="7" t="s">
        <v>204</v>
      </c>
    </row>
    <row r="174" customFormat="false" ht="39.75" hidden="false" customHeight="true" outlineLevel="0" collapsed="false">
      <c r="A174" s="7" t="s">
        <v>243</v>
      </c>
      <c r="B174" s="7" t="s">
        <v>628</v>
      </c>
      <c r="C174" s="7" t="s">
        <v>629</v>
      </c>
      <c r="D174" s="7" t="s">
        <v>203</v>
      </c>
      <c r="E174" s="7" t="s">
        <v>246</v>
      </c>
      <c r="F174" s="7" t="s">
        <v>224</v>
      </c>
      <c r="G174" s="7" t="s">
        <v>625</v>
      </c>
      <c r="H174" s="7" t="s">
        <v>205</v>
      </c>
      <c r="I174" s="7" t="s">
        <v>584</v>
      </c>
      <c r="J174" s="7" t="n">
        <v>3</v>
      </c>
      <c r="K174" s="7" t="s">
        <v>204</v>
      </c>
    </row>
    <row r="175" customFormat="false" ht="39.75" hidden="false" customHeight="true" outlineLevel="0" collapsed="false">
      <c r="A175" s="7" t="s">
        <v>243</v>
      </c>
      <c r="B175" s="7" t="s">
        <v>630</v>
      </c>
      <c r="C175" s="7" t="s">
        <v>631</v>
      </c>
      <c r="D175" s="7" t="s">
        <v>235</v>
      </c>
      <c r="E175" s="7" t="s">
        <v>251</v>
      </c>
      <c r="F175" s="7" t="s">
        <v>224</v>
      </c>
      <c r="G175" s="7" t="s">
        <v>625</v>
      </c>
      <c r="H175" s="7" t="s">
        <v>211</v>
      </c>
      <c r="I175" s="7" t="s">
        <v>632</v>
      </c>
      <c r="J175" s="7" t="n">
        <v>5</v>
      </c>
      <c r="K175" s="7" t="s">
        <v>204</v>
      </c>
    </row>
    <row r="176" customFormat="false" ht="39.75" hidden="false" customHeight="true" outlineLevel="0" collapsed="false">
      <c r="A176" s="7" t="s">
        <v>243</v>
      </c>
      <c r="B176" s="7" t="s">
        <v>633</v>
      </c>
      <c r="C176" s="7" t="s">
        <v>634</v>
      </c>
      <c r="D176" s="7" t="s">
        <v>235</v>
      </c>
      <c r="E176" s="7" t="s">
        <v>251</v>
      </c>
      <c r="F176" s="7" t="s">
        <v>224</v>
      </c>
      <c r="G176" s="7" t="s">
        <v>625</v>
      </c>
      <c r="H176" s="7" t="s">
        <v>211</v>
      </c>
      <c r="I176" s="7" t="s">
        <v>632</v>
      </c>
      <c r="J176" s="7" t="n">
        <v>3</v>
      </c>
      <c r="K176" s="7" t="s">
        <v>204</v>
      </c>
    </row>
    <row r="177" customFormat="false" ht="39.75" hidden="false" customHeight="true" outlineLevel="0" collapsed="false">
      <c r="A177" s="7" t="s">
        <v>243</v>
      </c>
      <c r="B177" s="7" t="s">
        <v>635</v>
      </c>
      <c r="C177" s="7" t="s">
        <v>636</v>
      </c>
      <c r="D177" s="7" t="s">
        <v>235</v>
      </c>
      <c r="E177" s="7" t="s">
        <v>246</v>
      </c>
      <c r="F177" s="7" t="s">
        <v>224</v>
      </c>
      <c r="G177" s="7" t="s">
        <v>625</v>
      </c>
      <c r="H177" s="7" t="s">
        <v>211</v>
      </c>
      <c r="I177" s="7" t="s">
        <v>632</v>
      </c>
      <c r="J177" s="7" t="n">
        <v>3</v>
      </c>
      <c r="K177" s="7" t="s">
        <v>204</v>
      </c>
    </row>
    <row r="178" customFormat="false" ht="39.75" hidden="false" customHeight="true" outlineLevel="0" collapsed="false">
      <c r="A178" s="7" t="s">
        <v>243</v>
      </c>
      <c r="B178" s="7" t="s">
        <v>637</v>
      </c>
      <c r="C178" s="7" t="s">
        <v>638</v>
      </c>
      <c r="D178" s="7" t="s">
        <v>235</v>
      </c>
      <c r="E178" s="7" t="s">
        <v>251</v>
      </c>
      <c r="F178" s="7" t="s">
        <v>224</v>
      </c>
      <c r="G178" s="7" t="s">
        <v>625</v>
      </c>
      <c r="H178" s="7" t="s">
        <v>205</v>
      </c>
      <c r="I178" s="7" t="s">
        <v>639</v>
      </c>
      <c r="J178" s="7" t="n">
        <v>5</v>
      </c>
      <c r="K178" s="7" t="s">
        <v>204</v>
      </c>
    </row>
    <row r="179" customFormat="false" ht="39.75" hidden="false" customHeight="true" outlineLevel="0" collapsed="false">
      <c r="A179" s="7" t="s">
        <v>243</v>
      </c>
      <c r="B179" s="7" t="s">
        <v>640</v>
      </c>
      <c r="C179" s="7" t="s">
        <v>641</v>
      </c>
      <c r="D179" s="7" t="s">
        <v>235</v>
      </c>
      <c r="E179" s="7" t="s">
        <v>246</v>
      </c>
      <c r="F179" s="7" t="s">
        <v>224</v>
      </c>
      <c r="G179" s="7" t="s">
        <v>625</v>
      </c>
      <c r="H179" s="7" t="s">
        <v>205</v>
      </c>
      <c r="I179" s="7" t="s">
        <v>639</v>
      </c>
      <c r="J179" s="7" t="n">
        <v>5</v>
      </c>
      <c r="K179" s="7" t="s">
        <v>204</v>
      </c>
    </row>
    <row r="180" customFormat="false" ht="39.75" hidden="false" customHeight="true" outlineLevel="0" collapsed="false">
      <c r="A180" s="7" t="s">
        <v>243</v>
      </c>
      <c r="B180" s="7" t="s">
        <v>642</v>
      </c>
      <c r="C180" s="7" t="s">
        <v>643</v>
      </c>
      <c r="D180" s="7" t="s">
        <v>235</v>
      </c>
      <c r="E180" s="7" t="s">
        <v>231</v>
      </c>
      <c r="F180" s="7" t="s">
        <v>224</v>
      </c>
      <c r="G180" s="7" t="s">
        <v>625</v>
      </c>
      <c r="H180" s="7" t="s">
        <v>205</v>
      </c>
      <c r="I180" s="7" t="s">
        <v>644</v>
      </c>
      <c r="J180" s="7" t="n">
        <v>5</v>
      </c>
      <c r="K180" s="7" t="s">
        <v>204</v>
      </c>
    </row>
    <row r="181" customFormat="false" ht="39.75" hidden="false" customHeight="true" outlineLevel="0" collapsed="false">
      <c r="A181" s="7" t="s">
        <v>243</v>
      </c>
      <c r="B181" s="7" t="s">
        <v>645</v>
      </c>
      <c r="C181" s="7" t="s">
        <v>646</v>
      </c>
      <c r="D181" s="7" t="s">
        <v>235</v>
      </c>
      <c r="E181" s="7" t="s">
        <v>231</v>
      </c>
      <c r="F181" s="7" t="s">
        <v>224</v>
      </c>
      <c r="G181" s="7" t="s">
        <v>625</v>
      </c>
      <c r="H181" s="7" t="s">
        <v>205</v>
      </c>
      <c r="I181" s="7" t="s">
        <v>647</v>
      </c>
      <c r="J181" s="7" t="n">
        <v>3</v>
      </c>
      <c r="K181" s="7" t="s">
        <v>204</v>
      </c>
    </row>
    <row r="182" customFormat="false" ht="39.75" hidden="false" customHeight="true" outlineLevel="0" collapsed="false">
      <c r="A182" s="7" t="s">
        <v>243</v>
      </c>
      <c r="B182" s="7" t="s">
        <v>648</v>
      </c>
      <c r="C182" s="7" t="s">
        <v>649</v>
      </c>
      <c r="D182" s="7" t="s">
        <v>235</v>
      </c>
      <c r="E182" s="7" t="s">
        <v>204</v>
      </c>
      <c r="F182" s="7" t="s">
        <v>224</v>
      </c>
      <c r="G182" s="7" t="s">
        <v>650</v>
      </c>
      <c r="H182" s="7" t="s">
        <v>205</v>
      </c>
      <c r="I182" s="7" t="s">
        <v>651</v>
      </c>
      <c r="J182" s="7" t="n">
        <v>5</v>
      </c>
      <c r="K182" s="7" t="s">
        <v>204</v>
      </c>
    </row>
    <row r="183" customFormat="false" ht="39.75" hidden="false" customHeight="true" outlineLevel="0" collapsed="false">
      <c r="A183" s="7" t="s">
        <v>243</v>
      </c>
      <c r="B183" s="7" t="s">
        <v>652</v>
      </c>
      <c r="C183" s="7" t="s">
        <v>653</v>
      </c>
      <c r="D183" s="7" t="s">
        <v>235</v>
      </c>
      <c r="E183" s="7" t="s">
        <v>204</v>
      </c>
      <c r="F183" s="7" t="s">
        <v>224</v>
      </c>
      <c r="G183" s="7" t="s">
        <v>650</v>
      </c>
      <c r="H183" s="7" t="s">
        <v>205</v>
      </c>
      <c r="I183" s="7" t="s">
        <v>651</v>
      </c>
      <c r="J183" s="7" t="n">
        <v>3</v>
      </c>
      <c r="K183" s="7" t="s">
        <v>204</v>
      </c>
    </row>
    <row r="184" customFormat="false" ht="39.75" hidden="false" customHeight="true" outlineLevel="0" collapsed="false">
      <c r="A184" s="7" t="s">
        <v>243</v>
      </c>
      <c r="B184" s="7" t="s">
        <v>654</v>
      </c>
      <c r="C184" s="7" t="s">
        <v>655</v>
      </c>
      <c r="D184" s="7" t="s">
        <v>235</v>
      </c>
      <c r="E184" s="7" t="s">
        <v>204</v>
      </c>
      <c r="F184" s="7" t="s">
        <v>224</v>
      </c>
      <c r="G184" s="7" t="s">
        <v>650</v>
      </c>
      <c r="H184" s="7" t="s">
        <v>205</v>
      </c>
      <c r="I184" s="7" t="s">
        <v>158</v>
      </c>
      <c r="J184" s="7" t="n">
        <v>3</v>
      </c>
      <c r="K184" s="7" t="s">
        <v>204</v>
      </c>
    </row>
    <row r="185" customFormat="false" ht="39.75" hidden="false" customHeight="true" outlineLevel="0" collapsed="false">
      <c r="A185" s="7" t="s">
        <v>243</v>
      </c>
      <c r="B185" s="7" t="s">
        <v>656</v>
      </c>
      <c r="C185" s="7" t="s">
        <v>657</v>
      </c>
      <c r="D185" s="7" t="s">
        <v>235</v>
      </c>
      <c r="E185" s="7" t="s">
        <v>231</v>
      </c>
      <c r="F185" s="7" t="s">
        <v>224</v>
      </c>
      <c r="G185" s="7" t="s">
        <v>650</v>
      </c>
      <c r="H185" s="7" t="s">
        <v>205</v>
      </c>
      <c r="I185" s="7" t="s">
        <v>262</v>
      </c>
      <c r="J185" s="7" t="n">
        <v>5</v>
      </c>
      <c r="K185" s="7" t="s">
        <v>204</v>
      </c>
    </row>
    <row r="186" customFormat="false" ht="39.75" hidden="false" customHeight="true" outlineLevel="0" collapsed="false">
      <c r="A186" s="7" t="s">
        <v>243</v>
      </c>
      <c r="B186" s="7" t="s">
        <v>658</v>
      </c>
      <c r="C186" s="7" t="s">
        <v>659</v>
      </c>
      <c r="D186" s="7" t="s">
        <v>235</v>
      </c>
      <c r="E186" s="7" t="s">
        <v>231</v>
      </c>
      <c r="F186" s="7" t="s">
        <v>224</v>
      </c>
      <c r="G186" s="7" t="s">
        <v>650</v>
      </c>
      <c r="H186" s="7" t="s">
        <v>205</v>
      </c>
      <c r="I186" s="7" t="s">
        <v>262</v>
      </c>
      <c r="J186" s="7" t="n">
        <v>3</v>
      </c>
      <c r="K186" s="7" t="s">
        <v>204</v>
      </c>
    </row>
    <row r="187" customFormat="false" ht="39.75" hidden="false" customHeight="true" outlineLevel="0" collapsed="false">
      <c r="A187" s="7" t="s">
        <v>243</v>
      </c>
      <c r="B187" s="7" t="s">
        <v>660</v>
      </c>
      <c r="C187" s="7" t="s">
        <v>661</v>
      </c>
      <c r="D187" s="7" t="s">
        <v>203</v>
      </c>
      <c r="E187" s="7" t="s">
        <v>246</v>
      </c>
      <c r="F187" s="7" t="s">
        <v>224</v>
      </c>
      <c r="G187" s="7" t="s">
        <v>650</v>
      </c>
      <c r="H187" s="7" t="s">
        <v>205</v>
      </c>
      <c r="I187" s="7" t="s">
        <v>613</v>
      </c>
      <c r="J187" s="7" t="n">
        <v>5</v>
      </c>
      <c r="K187" s="7" t="s">
        <v>204</v>
      </c>
    </row>
    <row r="188" customFormat="false" ht="39.75" hidden="false" customHeight="true" outlineLevel="0" collapsed="false">
      <c r="A188" s="7" t="s">
        <v>243</v>
      </c>
      <c r="B188" s="7" t="s">
        <v>662</v>
      </c>
      <c r="C188" s="7" t="s">
        <v>663</v>
      </c>
      <c r="D188" s="7" t="s">
        <v>203</v>
      </c>
      <c r="E188" s="7" t="s">
        <v>254</v>
      </c>
      <c r="F188" s="7" t="s">
        <v>224</v>
      </c>
      <c r="G188" s="7" t="s">
        <v>650</v>
      </c>
      <c r="H188" s="7" t="s">
        <v>205</v>
      </c>
      <c r="I188" s="7" t="s">
        <v>255</v>
      </c>
      <c r="J188" s="7" t="n">
        <v>3</v>
      </c>
      <c r="K188" s="7" t="s">
        <v>204</v>
      </c>
    </row>
    <row r="189" customFormat="false" ht="39.75" hidden="false" customHeight="true" outlineLevel="0" collapsed="false">
      <c r="A189" s="7" t="s">
        <v>243</v>
      </c>
      <c r="B189" s="7" t="s">
        <v>664</v>
      </c>
      <c r="C189" s="7" t="s">
        <v>665</v>
      </c>
      <c r="D189" s="7" t="s">
        <v>235</v>
      </c>
      <c r="E189" s="7" t="s">
        <v>251</v>
      </c>
      <c r="F189" s="7" t="s">
        <v>224</v>
      </c>
      <c r="G189" s="7" t="s">
        <v>650</v>
      </c>
      <c r="H189" s="7" t="s">
        <v>205</v>
      </c>
      <c r="I189" s="7" t="s">
        <v>666</v>
      </c>
      <c r="J189" s="7" t="n">
        <v>3</v>
      </c>
      <c r="K189" s="7" t="s">
        <v>204</v>
      </c>
    </row>
    <row r="190" customFormat="false" ht="39.75" hidden="false" customHeight="true" outlineLevel="0" collapsed="false">
      <c r="A190" s="7" t="s">
        <v>243</v>
      </c>
      <c r="B190" s="7" t="s">
        <v>667</v>
      </c>
      <c r="C190" s="7" t="s">
        <v>668</v>
      </c>
      <c r="D190" s="7" t="s">
        <v>235</v>
      </c>
      <c r="E190" s="7" t="s">
        <v>231</v>
      </c>
      <c r="F190" s="7" t="s">
        <v>228</v>
      </c>
      <c r="G190" s="7" t="s">
        <v>669</v>
      </c>
      <c r="H190" s="7" t="s">
        <v>205</v>
      </c>
      <c r="I190" s="7" t="s">
        <v>670</v>
      </c>
      <c r="J190" s="7" t="n">
        <v>5</v>
      </c>
      <c r="K190" s="7" t="s">
        <v>204</v>
      </c>
    </row>
    <row r="191" customFormat="false" ht="39.75" hidden="false" customHeight="true" outlineLevel="0" collapsed="false">
      <c r="A191" s="7" t="s">
        <v>243</v>
      </c>
      <c r="B191" s="7" t="s">
        <v>671</v>
      </c>
      <c r="C191" s="7" t="s">
        <v>672</v>
      </c>
      <c r="D191" s="7" t="s">
        <v>235</v>
      </c>
      <c r="E191" s="7" t="s">
        <v>231</v>
      </c>
      <c r="F191" s="7" t="s">
        <v>228</v>
      </c>
      <c r="G191" s="7" t="s">
        <v>669</v>
      </c>
      <c r="H191" s="7" t="s">
        <v>205</v>
      </c>
      <c r="I191" s="7" t="s">
        <v>670</v>
      </c>
      <c r="J191" s="7" t="n">
        <v>5</v>
      </c>
      <c r="K191" s="7" t="s">
        <v>204</v>
      </c>
    </row>
    <row r="192" customFormat="false" ht="39.75" hidden="false" customHeight="true" outlineLevel="0" collapsed="false">
      <c r="A192" s="7" t="s">
        <v>243</v>
      </c>
      <c r="B192" s="7" t="s">
        <v>673</v>
      </c>
      <c r="C192" s="7" t="s">
        <v>674</v>
      </c>
      <c r="D192" s="7" t="s">
        <v>235</v>
      </c>
      <c r="E192" s="7" t="s">
        <v>246</v>
      </c>
      <c r="F192" s="7" t="s">
        <v>228</v>
      </c>
      <c r="G192" s="7" t="s">
        <v>669</v>
      </c>
      <c r="H192" s="7" t="s">
        <v>205</v>
      </c>
      <c r="I192" s="7" t="s">
        <v>675</v>
      </c>
      <c r="J192" s="7" t="n">
        <v>8</v>
      </c>
      <c r="K192" s="7" t="s">
        <v>204</v>
      </c>
    </row>
    <row r="193" customFormat="false" ht="39.75" hidden="false" customHeight="true" outlineLevel="0" collapsed="false">
      <c r="A193" s="7" t="s">
        <v>243</v>
      </c>
      <c r="B193" s="7" t="s">
        <v>676</v>
      </c>
      <c r="C193" s="7" t="s">
        <v>677</v>
      </c>
      <c r="D193" s="7" t="s">
        <v>235</v>
      </c>
      <c r="E193" s="7" t="s">
        <v>254</v>
      </c>
      <c r="F193" s="7" t="s">
        <v>228</v>
      </c>
      <c r="G193" s="7" t="s">
        <v>669</v>
      </c>
      <c r="H193" s="7" t="s">
        <v>205</v>
      </c>
      <c r="I193" s="7" t="s">
        <v>678</v>
      </c>
      <c r="J193" s="7" t="n">
        <v>8</v>
      </c>
      <c r="K193" s="7" t="s">
        <v>204</v>
      </c>
    </row>
    <row r="194" customFormat="false" ht="39.75" hidden="false" customHeight="true" outlineLevel="0" collapsed="false">
      <c r="A194" s="7" t="s">
        <v>243</v>
      </c>
      <c r="B194" s="7" t="s">
        <v>679</v>
      </c>
      <c r="C194" s="7" t="s">
        <v>680</v>
      </c>
      <c r="D194" s="7" t="s">
        <v>235</v>
      </c>
      <c r="E194" s="7" t="s">
        <v>204</v>
      </c>
      <c r="F194" s="7" t="s">
        <v>228</v>
      </c>
      <c r="G194" s="7" t="s">
        <v>669</v>
      </c>
      <c r="H194" s="7" t="s">
        <v>205</v>
      </c>
      <c r="I194" s="7" t="s">
        <v>681</v>
      </c>
      <c r="J194" s="7" t="n">
        <v>3</v>
      </c>
      <c r="K194" s="7" t="s">
        <v>204</v>
      </c>
    </row>
    <row r="195" customFormat="false" ht="39.75" hidden="false" customHeight="true" outlineLevel="0" collapsed="false">
      <c r="A195" s="7" t="s">
        <v>243</v>
      </c>
      <c r="B195" s="7" t="s">
        <v>682</v>
      </c>
      <c r="C195" s="7" t="s">
        <v>683</v>
      </c>
      <c r="D195" s="7" t="s">
        <v>203</v>
      </c>
      <c r="E195" s="7" t="s">
        <v>278</v>
      </c>
      <c r="F195" s="7" t="s">
        <v>228</v>
      </c>
      <c r="G195" s="7" t="s">
        <v>669</v>
      </c>
      <c r="H195" s="7" t="s">
        <v>205</v>
      </c>
      <c r="I195" s="7" t="s">
        <v>684</v>
      </c>
      <c r="J195" s="7" t="n">
        <v>1</v>
      </c>
      <c r="K195" s="7" t="s">
        <v>204</v>
      </c>
    </row>
    <row r="196" customFormat="false" ht="39.75" hidden="false" customHeight="true" outlineLevel="0" collapsed="false">
      <c r="A196" s="7" t="s">
        <v>243</v>
      </c>
      <c r="B196" s="7" t="s">
        <v>685</v>
      </c>
      <c r="C196" s="7" t="s">
        <v>686</v>
      </c>
      <c r="D196" s="7" t="s">
        <v>235</v>
      </c>
      <c r="E196" s="7" t="s">
        <v>231</v>
      </c>
      <c r="F196" s="7" t="s">
        <v>228</v>
      </c>
      <c r="G196" s="7" t="s">
        <v>687</v>
      </c>
      <c r="H196" s="7" t="s">
        <v>205</v>
      </c>
      <c r="I196" s="7" t="s">
        <v>670</v>
      </c>
      <c r="J196" s="7" t="n">
        <v>5</v>
      </c>
      <c r="K196" s="7" t="s">
        <v>204</v>
      </c>
    </row>
    <row r="197" customFormat="false" ht="39.75" hidden="false" customHeight="true" outlineLevel="0" collapsed="false">
      <c r="A197" s="7" t="s">
        <v>243</v>
      </c>
      <c r="B197" s="7" t="s">
        <v>688</v>
      </c>
      <c r="C197" s="7" t="s">
        <v>689</v>
      </c>
      <c r="D197" s="7" t="s">
        <v>235</v>
      </c>
      <c r="E197" s="7" t="s">
        <v>251</v>
      </c>
      <c r="F197" s="7" t="s">
        <v>228</v>
      </c>
      <c r="G197" s="7" t="s">
        <v>687</v>
      </c>
      <c r="H197" s="7" t="s">
        <v>205</v>
      </c>
      <c r="I197" s="7" t="s">
        <v>675</v>
      </c>
      <c r="J197" s="7" t="n">
        <v>5</v>
      </c>
      <c r="K197" s="7" t="s">
        <v>204</v>
      </c>
    </row>
    <row r="198" customFormat="false" ht="39.75" hidden="false" customHeight="true" outlineLevel="0" collapsed="false">
      <c r="A198" s="7" t="s">
        <v>243</v>
      </c>
      <c r="B198" s="7" t="s">
        <v>690</v>
      </c>
      <c r="C198" s="7" t="s">
        <v>691</v>
      </c>
      <c r="D198" s="7" t="s">
        <v>235</v>
      </c>
      <c r="E198" s="7" t="s">
        <v>258</v>
      </c>
      <c r="F198" s="7" t="s">
        <v>228</v>
      </c>
      <c r="G198" s="7" t="s">
        <v>687</v>
      </c>
      <c r="H198" s="7" t="s">
        <v>205</v>
      </c>
      <c r="I198" s="7" t="s">
        <v>678</v>
      </c>
      <c r="J198" s="7" t="n">
        <v>5</v>
      </c>
      <c r="K198" s="7" t="s">
        <v>204</v>
      </c>
    </row>
    <row r="199" customFormat="false" ht="39.75" hidden="false" customHeight="true" outlineLevel="0" collapsed="false">
      <c r="A199" s="7" t="s">
        <v>243</v>
      </c>
      <c r="B199" s="7" t="s">
        <v>692</v>
      </c>
      <c r="C199" s="7" t="s">
        <v>693</v>
      </c>
      <c r="D199" s="7" t="s">
        <v>203</v>
      </c>
      <c r="E199" s="7" t="s">
        <v>204</v>
      </c>
      <c r="F199" s="7" t="s">
        <v>228</v>
      </c>
      <c r="G199" s="7" t="s">
        <v>687</v>
      </c>
      <c r="H199" s="7" t="s">
        <v>205</v>
      </c>
      <c r="I199" s="7" t="s">
        <v>694</v>
      </c>
      <c r="J199" s="7" t="n">
        <v>5</v>
      </c>
      <c r="K199" s="7" t="s">
        <v>204</v>
      </c>
    </row>
    <row r="200" customFormat="false" ht="39.75" hidden="false" customHeight="true" outlineLevel="0" collapsed="false">
      <c r="A200" s="7" t="s">
        <v>243</v>
      </c>
      <c r="B200" s="7" t="s">
        <v>695</v>
      </c>
      <c r="C200" s="7" t="s">
        <v>696</v>
      </c>
      <c r="D200" s="7" t="s">
        <v>203</v>
      </c>
      <c r="E200" s="7" t="s">
        <v>204</v>
      </c>
      <c r="F200" s="7" t="s">
        <v>228</v>
      </c>
      <c r="G200" s="7" t="s">
        <v>687</v>
      </c>
      <c r="H200" s="7" t="s">
        <v>205</v>
      </c>
      <c r="I200" s="7" t="s">
        <v>694</v>
      </c>
      <c r="J200" s="7" t="n">
        <v>5</v>
      </c>
      <c r="K200" s="7" t="s">
        <v>204</v>
      </c>
    </row>
    <row r="201" customFormat="false" ht="39.75" hidden="false" customHeight="true" outlineLevel="0" collapsed="false">
      <c r="A201" s="7" t="s">
        <v>243</v>
      </c>
      <c r="B201" s="7" t="s">
        <v>697</v>
      </c>
      <c r="C201" s="7" t="s">
        <v>698</v>
      </c>
      <c r="D201" s="7" t="s">
        <v>203</v>
      </c>
      <c r="E201" s="7" t="s">
        <v>278</v>
      </c>
      <c r="F201" s="7" t="s">
        <v>228</v>
      </c>
      <c r="G201" s="7" t="s">
        <v>687</v>
      </c>
      <c r="H201" s="7" t="s">
        <v>205</v>
      </c>
      <c r="I201" s="7" t="s">
        <v>699</v>
      </c>
      <c r="J201" s="7" t="n">
        <v>3</v>
      </c>
      <c r="K201" s="7" t="s">
        <v>204</v>
      </c>
    </row>
    <row r="202" customFormat="false" ht="39.75" hidden="false" customHeight="true" outlineLevel="0" collapsed="false">
      <c r="A202" s="7" t="s">
        <v>243</v>
      </c>
      <c r="B202" s="7" t="s">
        <v>700</v>
      </c>
      <c r="C202" s="7" t="s">
        <v>701</v>
      </c>
      <c r="D202" s="7" t="s">
        <v>203</v>
      </c>
      <c r="E202" s="7" t="s">
        <v>204</v>
      </c>
      <c r="F202" s="7" t="s">
        <v>228</v>
      </c>
      <c r="G202" s="7" t="s">
        <v>687</v>
      </c>
      <c r="H202" s="7" t="s">
        <v>205</v>
      </c>
      <c r="I202" s="7" t="s">
        <v>694</v>
      </c>
      <c r="J202" s="7" t="n">
        <v>2</v>
      </c>
      <c r="K202" s="7" t="s">
        <v>204</v>
      </c>
    </row>
    <row r="203" customFormat="false" ht="39.75" hidden="false" customHeight="true" outlineLevel="0" collapsed="false">
      <c r="A203" s="7" t="s">
        <v>243</v>
      </c>
      <c r="B203" s="7" t="s">
        <v>702</v>
      </c>
      <c r="C203" s="7" t="s">
        <v>703</v>
      </c>
      <c r="D203" s="7" t="s">
        <v>235</v>
      </c>
      <c r="E203" s="7" t="s">
        <v>231</v>
      </c>
      <c r="F203" s="7" t="s">
        <v>228</v>
      </c>
      <c r="G203" s="7" t="s">
        <v>704</v>
      </c>
      <c r="H203" s="7" t="s">
        <v>205</v>
      </c>
      <c r="I203" s="7" t="s">
        <v>670</v>
      </c>
      <c r="J203" s="7" t="n">
        <v>5</v>
      </c>
      <c r="K203" s="7" t="s">
        <v>204</v>
      </c>
    </row>
    <row r="204" customFormat="false" ht="39.75" hidden="false" customHeight="true" outlineLevel="0" collapsed="false">
      <c r="A204" s="7" t="s">
        <v>243</v>
      </c>
      <c r="B204" s="7" t="s">
        <v>705</v>
      </c>
      <c r="C204" s="7" t="s">
        <v>706</v>
      </c>
      <c r="D204" s="7" t="s">
        <v>235</v>
      </c>
      <c r="E204" s="7" t="s">
        <v>246</v>
      </c>
      <c r="F204" s="7" t="s">
        <v>228</v>
      </c>
      <c r="G204" s="7" t="s">
        <v>704</v>
      </c>
      <c r="H204" s="7" t="s">
        <v>205</v>
      </c>
      <c r="I204" s="7" t="s">
        <v>675</v>
      </c>
      <c r="J204" s="7" t="n">
        <v>5</v>
      </c>
      <c r="K204" s="7" t="s">
        <v>204</v>
      </c>
    </row>
    <row r="205" customFormat="false" ht="39.75" hidden="false" customHeight="true" outlineLevel="0" collapsed="false">
      <c r="A205" s="7" t="s">
        <v>243</v>
      </c>
      <c r="B205" s="7" t="s">
        <v>707</v>
      </c>
      <c r="C205" s="7" t="s">
        <v>691</v>
      </c>
      <c r="D205" s="7" t="s">
        <v>235</v>
      </c>
      <c r="E205" s="7" t="s">
        <v>254</v>
      </c>
      <c r="F205" s="7" t="s">
        <v>228</v>
      </c>
      <c r="G205" s="7" t="s">
        <v>704</v>
      </c>
      <c r="H205" s="7" t="s">
        <v>205</v>
      </c>
      <c r="I205" s="7" t="s">
        <v>678</v>
      </c>
      <c r="J205" s="7" t="n">
        <v>5</v>
      </c>
      <c r="K205" s="7" t="s">
        <v>204</v>
      </c>
    </row>
    <row r="206" customFormat="false" ht="39.75" hidden="false" customHeight="true" outlineLevel="0" collapsed="false">
      <c r="A206" s="7" t="s">
        <v>243</v>
      </c>
      <c r="B206" s="7" t="s">
        <v>708</v>
      </c>
      <c r="C206" s="7" t="s">
        <v>709</v>
      </c>
      <c r="D206" s="7" t="s">
        <v>235</v>
      </c>
      <c r="E206" s="7" t="s">
        <v>251</v>
      </c>
      <c r="F206" s="7" t="s">
        <v>228</v>
      </c>
      <c r="G206" s="7" t="s">
        <v>704</v>
      </c>
      <c r="H206" s="7" t="s">
        <v>205</v>
      </c>
      <c r="I206" s="7" t="s">
        <v>710</v>
      </c>
      <c r="J206" s="7" t="n">
        <v>5</v>
      </c>
      <c r="K206" s="7" t="s">
        <v>204</v>
      </c>
    </row>
    <row r="207" customFormat="false" ht="39.75" hidden="false" customHeight="true" outlineLevel="0" collapsed="false">
      <c r="A207" s="7" t="s">
        <v>243</v>
      </c>
      <c r="B207" s="7" t="s">
        <v>711</v>
      </c>
      <c r="C207" s="7" t="s">
        <v>712</v>
      </c>
      <c r="D207" s="7" t="s">
        <v>235</v>
      </c>
      <c r="E207" s="7" t="s">
        <v>251</v>
      </c>
      <c r="F207" s="7" t="s">
        <v>228</v>
      </c>
      <c r="G207" s="7" t="s">
        <v>704</v>
      </c>
      <c r="H207" s="7" t="s">
        <v>205</v>
      </c>
      <c r="I207" s="7" t="s">
        <v>710</v>
      </c>
      <c r="J207" s="7" t="n">
        <v>5</v>
      </c>
      <c r="K207" s="7" t="s">
        <v>204</v>
      </c>
    </row>
    <row r="208" customFormat="false" ht="39.75" hidden="false" customHeight="true" outlineLevel="0" collapsed="false">
      <c r="A208" s="7" t="s">
        <v>243</v>
      </c>
      <c r="B208" s="7" t="s">
        <v>713</v>
      </c>
      <c r="C208" s="7" t="s">
        <v>714</v>
      </c>
      <c r="D208" s="7" t="s">
        <v>235</v>
      </c>
      <c r="E208" s="7" t="s">
        <v>231</v>
      </c>
      <c r="F208" s="7" t="s">
        <v>228</v>
      </c>
      <c r="G208" s="7" t="s">
        <v>704</v>
      </c>
      <c r="H208" s="7" t="s">
        <v>205</v>
      </c>
      <c r="I208" s="7" t="s">
        <v>262</v>
      </c>
      <c r="J208" s="7" t="n">
        <v>3</v>
      </c>
      <c r="K208" s="7" t="s">
        <v>204</v>
      </c>
    </row>
    <row r="209" customFormat="false" ht="39.75" hidden="false" customHeight="true" outlineLevel="0" collapsed="false">
      <c r="A209" s="7" t="s">
        <v>243</v>
      </c>
      <c r="B209" s="7" t="s">
        <v>715</v>
      </c>
      <c r="C209" s="7" t="s">
        <v>716</v>
      </c>
      <c r="D209" s="7" t="s">
        <v>235</v>
      </c>
      <c r="E209" s="7" t="s">
        <v>204</v>
      </c>
      <c r="F209" s="7" t="s">
        <v>228</v>
      </c>
      <c r="G209" s="7" t="s">
        <v>704</v>
      </c>
      <c r="H209" s="7" t="s">
        <v>205</v>
      </c>
      <c r="I209" s="7" t="s">
        <v>158</v>
      </c>
      <c r="J209" s="7" t="n">
        <v>2</v>
      </c>
      <c r="K209" s="7" t="s">
        <v>204</v>
      </c>
    </row>
    <row r="210" customFormat="false" ht="39.75" hidden="false" customHeight="true" outlineLevel="0" collapsed="false">
      <c r="A210" s="7" t="s">
        <v>243</v>
      </c>
      <c r="B210" s="7" t="s">
        <v>717</v>
      </c>
      <c r="C210" s="7" t="s">
        <v>718</v>
      </c>
      <c r="D210" s="7" t="s">
        <v>235</v>
      </c>
      <c r="E210" s="7" t="s">
        <v>246</v>
      </c>
      <c r="F210" s="7" t="s">
        <v>232</v>
      </c>
      <c r="G210" s="7" t="s">
        <v>719</v>
      </c>
      <c r="H210" s="7" t="s">
        <v>205</v>
      </c>
      <c r="I210" s="7" t="s">
        <v>720</v>
      </c>
      <c r="J210" s="7" t="n">
        <v>5</v>
      </c>
      <c r="K210" s="7" t="s">
        <v>204</v>
      </c>
    </row>
    <row r="211" customFormat="false" ht="39.75" hidden="false" customHeight="true" outlineLevel="0" collapsed="false">
      <c r="A211" s="7" t="s">
        <v>243</v>
      </c>
      <c r="B211" s="7" t="s">
        <v>721</v>
      </c>
      <c r="C211" s="7" t="s">
        <v>722</v>
      </c>
      <c r="D211" s="7" t="s">
        <v>235</v>
      </c>
      <c r="E211" s="7" t="s">
        <v>254</v>
      </c>
      <c r="F211" s="7" t="s">
        <v>232</v>
      </c>
      <c r="G211" s="7" t="s">
        <v>719</v>
      </c>
      <c r="H211" s="7" t="s">
        <v>205</v>
      </c>
      <c r="I211" s="7" t="s">
        <v>723</v>
      </c>
      <c r="J211" s="7" t="n">
        <v>5</v>
      </c>
      <c r="K211" s="7" t="s">
        <v>204</v>
      </c>
    </row>
    <row r="212" customFormat="false" ht="39.75" hidden="false" customHeight="true" outlineLevel="0" collapsed="false">
      <c r="A212" s="7" t="s">
        <v>243</v>
      </c>
      <c r="B212" s="7" t="s">
        <v>724</v>
      </c>
      <c r="C212" s="7" t="s">
        <v>725</v>
      </c>
      <c r="D212" s="7" t="s">
        <v>235</v>
      </c>
      <c r="E212" s="7" t="s">
        <v>251</v>
      </c>
      <c r="F212" s="7" t="s">
        <v>232</v>
      </c>
      <c r="G212" s="7" t="s">
        <v>719</v>
      </c>
      <c r="H212" s="7" t="s">
        <v>205</v>
      </c>
      <c r="I212" s="7" t="s">
        <v>710</v>
      </c>
      <c r="J212" s="7" t="n">
        <v>3</v>
      </c>
      <c r="K212" s="7" t="s">
        <v>204</v>
      </c>
    </row>
    <row r="213" customFormat="false" ht="39.75" hidden="false" customHeight="true" outlineLevel="0" collapsed="false">
      <c r="A213" s="7" t="s">
        <v>243</v>
      </c>
      <c r="B213" s="7" t="s">
        <v>726</v>
      </c>
      <c r="C213" s="7" t="s">
        <v>727</v>
      </c>
      <c r="D213" s="7" t="s">
        <v>235</v>
      </c>
      <c r="E213" s="7" t="s">
        <v>251</v>
      </c>
      <c r="F213" s="7" t="s">
        <v>232</v>
      </c>
      <c r="G213" s="7" t="s">
        <v>719</v>
      </c>
      <c r="H213" s="7" t="s">
        <v>205</v>
      </c>
      <c r="I213" s="7" t="s">
        <v>710</v>
      </c>
      <c r="J213" s="7" t="n">
        <v>5</v>
      </c>
      <c r="K213" s="7" t="s">
        <v>204</v>
      </c>
    </row>
    <row r="214" customFormat="false" ht="39.75" hidden="false" customHeight="true" outlineLevel="0" collapsed="false">
      <c r="A214" s="7" t="s">
        <v>243</v>
      </c>
      <c r="B214" s="7" t="s">
        <v>728</v>
      </c>
      <c r="C214" s="7" t="s">
        <v>729</v>
      </c>
      <c r="D214" s="7" t="s">
        <v>203</v>
      </c>
      <c r="E214" s="7" t="s">
        <v>204</v>
      </c>
      <c r="F214" s="7" t="s">
        <v>232</v>
      </c>
      <c r="G214" s="7" t="s">
        <v>719</v>
      </c>
      <c r="H214" s="7" t="s">
        <v>205</v>
      </c>
      <c r="I214" s="7" t="s">
        <v>730</v>
      </c>
      <c r="J214" s="7" t="n">
        <v>3</v>
      </c>
      <c r="K214" s="7" t="s">
        <v>204</v>
      </c>
    </row>
    <row r="215" customFormat="false" ht="39.75" hidden="false" customHeight="true" outlineLevel="0" collapsed="false">
      <c r="A215" s="7" t="s">
        <v>243</v>
      </c>
      <c r="B215" s="7" t="s">
        <v>731</v>
      </c>
      <c r="C215" s="7" t="s">
        <v>732</v>
      </c>
      <c r="D215" s="7" t="s">
        <v>235</v>
      </c>
      <c r="E215" s="7" t="s">
        <v>204</v>
      </c>
      <c r="F215" s="7" t="s">
        <v>232</v>
      </c>
      <c r="G215" s="7" t="s">
        <v>719</v>
      </c>
      <c r="H215" s="7" t="s">
        <v>205</v>
      </c>
      <c r="I215" s="7" t="s">
        <v>730</v>
      </c>
      <c r="J215" s="7" t="n">
        <v>2</v>
      </c>
      <c r="K215" s="7" t="s">
        <v>204</v>
      </c>
    </row>
    <row r="216" customFormat="false" ht="39.75" hidden="false" customHeight="true" outlineLevel="0" collapsed="false">
      <c r="A216" s="7" t="s">
        <v>243</v>
      </c>
      <c r="B216" s="7" t="s">
        <v>733</v>
      </c>
      <c r="C216" s="7" t="s">
        <v>734</v>
      </c>
      <c r="D216" s="7" t="s">
        <v>235</v>
      </c>
      <c r="E216" s="7" t="s">
        <v>231</v>
      </c>
      <c r="F216" s="7" t="s">
        <v>232</v>
      </c>
      <c r="G216" s="7" t="s">
        <v>719</v>
      </c>
      <c r="H216" s="7" t="s">
        <v>205</v>
      </c>
      <c r="I216" s="7" t="s">
        <v>735</v>
      </c>
      <c r="J216" s="7" t="n">
        <v>2</v>
      </c>
      <c r="K216" s="7" t="s">
        <v>204</v>
      </c>
    </row>
    <row r="217" customFormat="false" ht="39.75" hidden="false" customHeight="true" outlineLevel="0" collapsed="false">
      <c r="A217" s="7" t="s">
        <v>243</v>
      </c>
      <c r="B217" s="7" t="s">
        <v>736</v>
      </c>
      <c r="C217" s="7" t="s">
        <v>737</v>
      </c>
      <c r="D217" s="7" t="s">
        <v>235</v>
      </c>
      <c r="E217" s="7" t="s">
        <v>251</v>
      </c>
      <c r="F217" s="7" t="s">
        <v>232</v>
      </c>
      <c r="G217" s="7" t="s">
        <v>738</v>
      </c>
      <c r="H217" s="7" t="s">
        <v>205</v>
      </c>
      <c r="I217" s="7" t="s">
        <v>739</v>
      </c>
      <c r="J217" s="7" t="n">
        <v>8</v>
      </c>
      <c r="K217" s="7" t="s">
        <v>204</v>
      </c>
    </row>
    <row r="218" customFormat="false" ht="39.75" hidden="false" customHeight="true" outlineLevel="0" collapsed="false">
      <c r="A218" s="7" t="s">
        <v>243</v>
      </c>
      <c r="B218" s="7" t="s">
        <v>740</v>
      </c>
      <c r="C218" s="7" t="s">
        <v>741</v>
      </c>
      <c r="D218" s="7" t="s">
        <v>235</v>
      </c>
      <c r="E218" s="7" t="s">
        <v>246</v>
      </c>
      <c r="F218" s="7" t="s">
        <v>232</v>
      </c>
      <c r="G218" s="7" t="s">
        <v>738</v>
      </c>
      <c r="H218" s="7" t="s">
        <v>205</v>
      </c>
      <c r="I218" s="7" t="s">
        <v>739</v>
      </c>
      <c r="J218" s="7" t="n">
        <v>3</v>
      </c>
      <c r="K218" s="7" t="s">
        <v>204</v>
      </c>
    </row>
    <row r="219" customFormat="false" ht="39.75" hidden="false" customHeight="true" outlineLevel="0" collapsed="false">
      <c r="A219" s="7" t="s">
        <v>243</v>
      </c>
      <c r="B219" s="7" t="s">
        <v>742</v>
      </c>
      <c r="C219" s="7" t="s">
        <v>743</v>
      </c>
      <c r="D219" s="7" t="s">
        <v>235</v>
      </c>
      <c r="E219" s="7" t="s">
        <v>231</v>
      </c>
      <c r="F219" s="7" t="s">
        <v>232</v>
      </c>
      <c r="G219" s="7" t="s">
        <v>738</v>
      </c>
      <c r="H219" s="7" t="s">
        <v>205</v>
      </c>
      <c r="I219" s="7" t="s">
        <v>744</v>
      </c>
      <c r="J219" s="7" t="n">
        <v>3</v>
      </c>
      <c r="K219" s="7" t="s">
        <v>204</v>
      </c>
    </row>
    <row r="220" customFormat="false" ht="39.75" hidden="false" customHeight="true" outlineLevel="0" collapsed="false">
      <c r="A220" s="7" t="s">
        <v>243</v>
      </c>
      <c r="B220" s="7" t="s">
        <v>745</v>
      </c>
      <c r="C220" s="7" t="s">
        <v>746</v>
      </c>
      <c r="D220" s="7" t="s">
        <v>235</v>
      </c>
      <c r="E220" s="7" t="s">
        <v>246</v>
      </c>
      <c r="F220" s="7" t="s">
        <v>232</v>
      </c>
      <c r="G220" s="7" t="s">
        <v>738</v>
      </c>
      <c r="H220" s="7" t="s">
        <v>205</v>
      </c>
      <c r="I220" s="7" t="s">
        <v>747</v>
      </c>
      <c r="J220" s="7" t="n">
        <v>5</v>
      </c>
      <c r="K220" s="7" t="s">
        <v>204</v>
      </c>
    </row>
    <row r="221" customFormat="false" ht="39.75" hidden="false" customHeight="true" outlineLevel="0" collapsed="false">
      <c r="A221" s="7" t="s">
        <v>243</v>
      </c>
      <c r="B221" s="7" t="s">
        <v>748</v>
      </c>
      <c r="C221" s="7" t="s">
        <v>691</v>
      </c>
      <c r="D221" s="7" t="s">
        <v>235</v>
      </c>
      <c r="E221" s="7" t="s">
        <v>254</v>
      </c>
      <c r="F221" s="7" t="s">
        <v>232</v>
      </c>
      <c r="G221" s="7" t="s">
        <v>738</v>
      </c>
      <c r="H221" s="7" t="s">
        <v>205</v>
      </c>
      <c r="I221" s="7" t="s">
        <v>749</v>
      </c>
      <c r="J221" s="7" t="n">
        <v>3</v>
      </c>
      <c r="K221" s="7" t="s">
        <v>204</v>
      </c>
    </row>
    <row r="222" customFormat="false" ht="39.75" hidden="false" customHeight="true" outlineLevel="0" collapsed="false">
      <c r="A222" s="7" t="s">
        <v>243</v>
      </c>
      <c r="B222" s="7" t="s">
        <v>750</v>
      </c>
      <c r="C222" s="7" t="s">
        <v>751</v>
      </c>
      <c r="D222" s="7" t="s">
        <v>203</v>
      </c>
      <c r="E222" s="7" t="s">
        <v>204</v>
      </c>
      <c r="F222" s="7" t="s">
        <v>232</v>
      </c>
      <c r="G222" s="7" t="s">
        <v>738</v>
      </c>
      <c r="H222" s="7" t="s">
        <v>205</v>
      </c>
      <c r="I222" s="7" t="s">
        <v>752</v>
      </c>
      <c r="J222" s="7" t="n">
        <v>3</v>
      </c>
      <c r="K222" s="7" t="s">
        <v>204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60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14"/>
  </cols>
  <sheetData>
    <row r="1" customFormat="false" ht="27.75" hidden="false" customHeight="true" outlineLevel="0" collapsed="false">
      <c r="A1" s="1" t="s">
        <v>753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754</v>
      </c>
      <c r="B2" s="2"/>
      <c r="C2" s="2"/>
      <c r="D2" s="2"/>
      <c r="E2" s="2"/>
      <c r="F2" s="2"/>
    </row>
    <row r="4" customFormat="false" ht="27.75" hidden="false" customHeight="true" outlineLevel="0" collapsed="false">
      <c r="A4" s="6" t="s">
        <v>197</v>
      </c>
      <c r="B4" s="6" t="s">
        <v>37</v>
      </c>
      <c r="C4" s="6" t="s">
        <v>755</v>
      </c>
      <c r="D4" s="6" t="s">
        <v>241</v>
      </c>
      <c r="E4" s="6" t="s">
        <v>756</v>
      </c>
      <c r="F4" s="6" t="s">
        <v>51</v>
      </c>
    </row>
    <row r="5" customFormat="false" ht="15" hidden="false" customHeight="false" outlineLevel="0" collapsed="false">
      <c r="A5" s="7" t="s">
        <v>757</v>
      </c>
      <c r="B5" s="7" t="s">
        <v>758</v>
      </c>
      <c r="C5" s="7" t="s">
        <v>244</v>
      </c>
      <c r="D5" s="7" t="s">
        <v>246</v>
      </c>
      <c r="E5" s="7" t="n">
        <v>4</v>
      </c>
      <c r="F5" s="7" t="s">
        <v>759</v>
      </c>
    </row>
    <row r="6" customFormat="false" ht="15" hidden="false" customHeight="false" outlineLevel="0" collapsed="false">
      <c r="A6" s="7" t="s">
        <v>757</v>
      </c>
      <c r="B6" s="7" t="s">
        <v>760</v>
      </c>
      <c r="C6" s="7" t="s">
        <v>244</v>
      </c>
      <c r="D6" s="7" t="s">
        <v>246</v>
      </c>
      <c r="E6" s="7" t="n">
        <v>10</v>
      </c>
      <c r="F6" s="7" t="s">
        <v>759</v>
      </c>
    </row>
    <row r="7" customFormat="false" ht="15" hidden="false" customHeight="false" outlineLevel="0" collapsed="false">
      <c r="A7" s="7" t="s">
        <v>757</v>
      </c>
      <c r="B7" s="7" t="s">
        <v>761</v>
      </c>
      <c r="C7" s="7" t="s">
        <v>244</v>
      </c>
      <c r="D7" s="7" t="s">
        <v>246</v>
      </c>
      <c r="E7" s="7" t="n">
        <v>4</v>
      </c>
      <c r="F7" s="7" t="s">
        <v>759</v>
      </c>
    </row>
    <row r="8" customFormat="false" ht="15" hidden="false" customHeight="false" outlineLevel="0" collapsed="false">
      <c r="A8" s="7" t="s">
        <v>757</v>
      </c>
      <c r="B8" s="7" t="s">
        <v>762</v>
      </c>
      <c r="C8" s="7" t="s">
        <v>249</v>
      </c>
      <c r="D8" s="7" t="s">
        <v>251</v>
      </c>
      <c r="E8" s="7" t="n">
        <v>4</v>
      </c>
      <c r="F8" s="7" t="s">
        <v>759</v>
      </c>
    </row>
    <row r="9" customFormat="false" ht="15" hidden="false" customHeight="false" outlineLevel="0" collapsed="false">
      <c r="A9" s="7" t="s">
        <v>757</v>
      </c>
      <c r="B9" s="7" t="s">
        <v>763</v>
      </c>
      <c r="C9" s="7" t="s">
        <v>249</v>
      </c>
      <c r="D9" s="7" t="s">
        <v>251</v>
      </c>
      <c r="E9" s="7" t="n">
        <v>10</v>
      </c>
      <c r="F9" s="7" t="s">
        <v>759</v>
      </c>
    </row>
    <row r="10" customFormat="false" ht="15" hidden="false" customHeight="false" outlineLevel="0" collapsed="false">
      <c r="A10" s="7" t="s">
        <v>757</v>
      </c>
      <c r="B10" s="7" t="s">
        <v>764</v>
      </c>
      <c r="C10" s="7" t="s">
        <v>249</v>
      </c>
      <c r="D10" s="7" t="s">
        <v>251</v>
      </c>
      <c r="E10" s="7" t="n">
        <v>4</v>
      </c>
      <c r="F10" s="7" t="s">
        <v>759</v>
      </c>
    </row>
    <row r="11" customFormat="false" ht="15" hidden="false" customHeight="false" outlineLevel="0" collapsed="false">
      <c r="A11" s="7" t="s">
        <v>757</v>
      </c>
      <c r="B11" s="7" t="s">
        <v>765</v>
      </c>
      <c r="C11" s="7" t="s">
        <v>252</v>
      </c>
      <c r="D11" s="7" t="s">
        <v>254</v>
      </c>
      <c r="E11" s="7" t="n">
        <v>8</v>
      </c>
      <c r="F11" s="7" t="s">
        <v>759</v>
      </c>
    </row>
    <row r="12" customFormat="false" ht="23.85" hidden="false" customHeight="false" outlineLevel="0" collapsed="false">
      <c r="A12" s="7" t="s">
        <v>757</v>
      </c>
      <c r="B12" s="7" t="s">
        <v>766</v>
      </c>
      <c r="C12" s="7" t="s">
        <v>252</v>
      </c>
      <c r="D12" s="7" t="s">
        <v>254</v>
      </c>
      <c r="E12" s="7" t="n">
        <v>4</v>
      </c>
      <c r="F12" s="7" t="s">
        <v>759</v>
      </c>
    </row>
    <row r="13" customFormat="false" ht="15" hidden="false" customHeight="false" outlineLevel="0" collapsed="false">
      <c r="A13" s="7" t="s">
        <v>757</v>
      </c>
      <c r="B13" s="7" t="s">
        <v>767</v>
      </c>
      <c r="C13" s="7" t="s">
        <v>252</v>
      </c>
      <c r="D13" s="7" t="s">
        <v>254</v>
      </c>
      <c r="E13" s="7" t="n">
        <v>3</v>
      </c>
      <c r="F13" s="7" t="s">
        <v>759</v>
      </c>
    </row>
    <row r="14" customFormat="false" ht="23.85" hidden="false" customHeight="false" outlineLevel="0" collapsed="false">
      <c r="A14" s="7" t="s">
        <v>757</v>
      </c>
      <c r="B14" s="7" t="s">
        <v>768</v>
      </c>
      <c r="C14" s="7" t="s">
        <v>256</v>
      </c>
      <c r="D14" s="7" t="s">
        <v>258</v>
      </c>
      <c r="E14" s="7" t="n">
        <v>8</v>
      </c>
      <c r="F14" s="7" t="s">
        <v>759</v>
      </c>
    </row>
    <row r="15" customFormat="false" ht="23.85" hidden="false" customHeight="false" outlineLevel="0" collapsed="false">
      <c r="A15" s="7" t="s">
        <v>757</v>
      </c>
      <c r="B15" s="7" t="s">
        <v>769</v>
      </c>
      <c r="C15" s="7" t="s">
        <v>256</v>
      </c>
      <c r="D15" s="7" t="s">
        <v>258</v>
      </c>
      <c r="E15" s="7" t="n">
        <v>4</v>
      </c>
      <c r="F15" s="7" t="s">
        <v>759</v>
      </c>
    </row>
    <row r="16" customFormat="false" ht="15" hidden="false" customHeight="false" outlineLevel="0" collapsed="false">
      <c r="A16" s="7" t="s">
        <v>757</v>
      </c>
      <c r="B16" s="7" t="s">
        <v>770</v>
      </c>
      <c r="C16" s="7" t="s">
        <v>256</v>
      </c>
      <c r="D16" s="7" t="s">
        <v>258</v>
      </c>
      <c r="E16" s="7" t="n">
        <v>3</v>
      </c>
      <c r="F16" s="7" t="s">
        <v>759</v>
      </c>
    </row>
    <row r="17" customFormat="false" ht="15" hidden="false" customHeight="false" outlineLevel="0" collapsed="false">
      <c r="A17" s="7" t="s">
        <v>757</v>
      </c>
      <c r="B17" s="7" t="s">
        <v>771</v>
      </c>
      <c r="C17" s="7" t="s">
        <v>265</v>
      </c>
      <c r="D17" s="7" t="s">
        <v>204</v>
      </c>
      <c r="E17" s="7" t="n">
        <v>4</v>
      </c>
      <c r="F17" s="7" t="s">
        <v>759</v>
      </c>
    </row>
    <row r="18" customFormat="false" ht="15" hidden="false" customHeight="false" outlineLevel="0" collapsed="false">
      <c r="A18" s="7" t="s">
        <v>757</v>
      </c>
      <c r="B18" s="7" t="s">
        <v>772</v>
      </c>
      <c r="C18" s="7" t="s">
        <v>265</v>
      </c>
      <c r="D18" s="7" t="s">
        <v>204</v>
      </c>
      <c r="E18" s="7" t="n">
        <v>2</v>
      </c>
      <c r="F18" s="7" t="s">
        <v>759</v>
      </c>
    </row>
    <row r="19" customFormat="false" ht="15" hidden="false" customHeight="false" outlineLevel="0" collapsed="false">
      <c r="A19" s="7" t="s">
        <v>757</v>
      </c>
      <c r="B19" s="7" t="s">
        <v>773</v>
      </c>
      <c r="C19" s="7" t="s">
        <v>269</v>
      </c>
      <c r="D19" s="7" t="s">
        <v>204</v>
      </c>
      <c r="E19" s="7" t="n">
        <v>4</v>
      </c>
      <c r="F19" s="7" t="s">
        <v>759</v>
      </c>
    </row>
    <row r="20" customFormat="false" ht="15" hidden="false" customHeight="false" outlineLevel="0" collapsed="false">
      <c r="A20" s="7" t="s">
        <v>757</v>
      </c>
      <c r="B20" s="7" t="s">
        <v>774</v>
      </c>
      <c r="C20" s="7" t="s">
        <v>269</v>
      </c>
      <c r="D20" s="7" t="s">
        <v>204</v>
      </c>
      <c r="E20" s="7" t="n">
        <v>2</v>
      </c>
      <c r="F20" s="7" t="s">
        <v>759</v>
      </c>
    </row>
    <row r="21" customFormat="false" ht="23.85" hidden="false" customHeight="false" outlineLevel="0" collapsed="false">
      <c r="A21" s="7" t="s">
        <v>757</v>
      </c>
      <c r="B21" s="7" t="s">
        <v>775</v>
      </c>
      <c r="C21" s="7" t="s">
        <v>271</v>
      </c>
      <c r="D21" s="7" t="s">
        <v>210</v>
      </c>
      <c r="E21" s="7" t="n">
        <v>4</v>
      </c>
      <c r="F21" s="7" t="s">
        <v>759</v>
      </c>
    </row>
    <row r="22" customFormat="false" ht="23.85" hidden="false" customHeight="false" outlineLevel="0" collapsed="false">
      <c r="A22" s="7" t="s">
        <v>757</v>
      </c>
      <c r="B22" s="7" t="s">
        <v>776</v>
      </c>
      <c r="C22" s="7" t="s">
        <v>271</v>
      </c>
      <c r="D22" s="7" t="s">
        <v>210</v>
      </c>
      <c r="E22" s="7" t="n">
        <v>2</v>
      </c>
      <c r="F22" s="7" t="s">
        <v>759</v>
      </c>
    </row>
    <row r="23" customFormat="false" ht="15" hidden="false" customHeight="false" outlineLevel="0" collapsed="false">
      <c r="A23" s="7" t="s">
        <v>757</v>
      </c>
      <c r="B23" s="7" t="s">
        <v>777</v>
      </c>
      <c r="C23" s="7" t="s">
        <v>274</v>
      </c>
      <c r="D23" s="7" t="s">
        <v>210</v>
      </c>
      <c r="E23" s="7" t="n">
        <v>4</v>
      </c>
      <c r="F23" s="7" t="s">
        <v>759</v>
      </c>
    </row>
    <row r="24" customFormat="false" ht="15" hidden="false" customHeight="false" outlineLevel="0" collapsed="false">
      <c r="A24" s="7" t="s">
        <v>757</v>
      </c>
      <c r="B24" s="7" t="s">
        <v>778</v>
      </c>
      <c r="C24" s="7" t="s">
        <v>274</v>
      </c>
      <c r="D24" s="7" t="s">
        <v>210</v>
      </c>
      <c r="E24" s="7" t="n">
        <v>2</v>
      </c>
      <c r="F24" s="7" t="s">
        <v>759</v>
      </c>
    </row>
    <row r="25" customFormat="false" ht="15" hidden="false" customHeight="false" outlineLevel="0" collapsed="false">
      <c r="A25" s="7" t="s">
        <v>757</v>
      </c>
      <c r="B25" s="7" t="s">
        <v>779</v>
      </c>
      <c r="C25" s="7" t="s">
        <v>276</v>
      </c>
      <c r="D25" s="7" t="s">
        <v>278</v>
      </c>
      <c r="E25" s="7" t="n">
        <v>10</v>
      </c>
      <c r="F25" s="7" t="s">
        <v>759</v>
      </c>
    </row>
    <row r="26" customFormat="false" ht="15" hidden="false" customHeight="false" outlineLevel="0" collapsed="false">
      <c r="A26" s="7" t="s">
        <v>757</v>
      </c>
      <c r="B26" s="7" t="s">
        <v>780</v>
      </c>
      <c r="C26" s="7" t="s">
        <v>276</v>
      </c>
      <c r="D26" s="7" t="s">
        <v>278</v>
      </c>
      <c r="E26" s="7" t="n">
        <v>2</v>
      </c>
      <c r="F26" s="7" t="s">
        <v>759</v>
      </c>
    </row>
    <row r="27" customFormat="false" ht="15" hidden="false" customHeight="false" outlineLevel="0" collapsed="false">
      <c r="A27" s="7" t="s">
        <v>757</v>
      </c>
      <c r="B27" s="7" t="s">
        <v>781</v>
      </c>
      <c r="C27" s="7" t="s">
        <v>280</v>
      </c>
      <c r="D27" s="7" t="s">
        <v>246</v>
      </c>
      <c r="E27" s="7" t="n">
        <v>4</v>
      </c>
      <c r="F27" s="7" t="s">
        <v>759</v>
      </c>
    </row>
    <row r="28" customFormat="false" ht="15" hidden="false" customHeight="false" outlineLevel="0" collapsed="false">
      <c r="A28" s="7" t="s">
        <v>757</v>
      </c>
      <c r="B28" s="7" t="s">
        <v>782</v>
      </c>
      <c r="C28" s="7" t="s">
        <v>280</v>
      </c>
      <c r="D28" s="7" t="s">
        <v>246</v>
      </c>
      <c r="E28" s="7" t="n">
        <v>10</v>
      </c>
      <c r="F28" s="7" t="s">
        <v>759</v>
      </c>
    </row>
    <row r="29" customFormat="false" ht="15" hidden="false" customHeight="false" outlineLevel="0" collapsed="false">
      <c r="A29" s="7" t="s">
        <v>757</v>
      </c>
      <c r="B29" s="7" t="s">
        <v>783</v>
      </c>
      <c r="C29" s="7" t="s">
        <v>280</v>
      </c>
      <c r="D29" s="7" t="s">
        <v>246</v>
      </c>
      <c r="E29" s="7" t="n">
        <v>4</v>
      </c>
      <c r="F29" s="7" t="s">
        <v>759</v>
      </c>
    </row>
    <row r="30" customFormat="false" ht="15" hidden="false" customHeight="false" outlineLevel="0" collapsed="false">
      <c r="A30" s="7" t="s">
        <v>757</v>
      </c>
      <c r="B30" s="7" t="s">
        <v>784</v>
      </c>
      <c r="C30" s="7" t="s">
        <v>283</v>
      </c>
      <c r="D30" s="7" t="s">
        <v>251</v>
      </c>
      <c r="E30" s="7" t="n">
        <v>4</v>
      </c>
      <c r="F30" s="7" t="s">
        <v>759</v>
      </c>
    </row>
    <row r="31" customFormat="false" ht="15" hidden="false" customHeight="false" outlineLevel="0" collapsed="false">
      <c r="A31" s="7" t="s">
        <v>757</v>
      </c>
      <c r="B31" s="7" t="s">
        <v>785</v>
      </c>
      <c r="C31" s="7" t="s">
        <v>283</v>
      </c>
      <c r="D31" s="7" t="s">
        <v>251</v>
      </c>
      <c r="E31" s="7" t="n">
        <v>10</v>
      </c>
      <c r="F31" s="7" t="s">
        <v>759</v>
      </c>
    </row>
    <row r="32" customFormat="false" ht="15" hidden="false" customHeight="false" outlineLevel="0" collapsed="false">
      <c r="A32" s="7" t="s">
        <v>757</v>
      </c>
      <c r="B32" s="7" t="s">
        <v>786</v>
      </c>
      <c r="C32" s="7" t="s">
        <v>283</v>
      </c>
      <c r="D32" s="7" t="s">
        <v>251</v>
      </c>
      <c r="E32" s="7" t="n">
        <v>4</v>
      </c>
      <c r="F32" s="7" t="s">
        <v>759</v>
      </c>
    </row>
    <row r="33" customFormat="false" ht="15" hidden="false" customHeight="false" outlineLevel="0" collapsed="false">
      <c r="A33" s="7" t="s">
        <v>757</v>
      </c>
      <c r="B33" s="7" t="s">
        <v>787</v>
      </c>
      <c r="C33" s="7" t="s">
        <v>285</v>
      </c>
      <c r="D33" s="7" t="s">
        <v>231</v>
      </c>
      <c r="E33" s="7" t="n">
        <v>4</v>
      </c>
      <c r="F33" s="7" t="s">
        <v>759</v>
      </c>
    </row>
    <row r="34" customFormat="false" ht="15" hidden="false" customHeight="false" outlineLevel="0" collapsed="false">
      <c r="A34" s="7" t="s">
        <v>757</v>
      </c>
      <c r="B34" s="7" t="s">
        <v>788</v>
      </c>
      <c r="C34" s="7" t="s">
        <v>285</v>
      </c>
      <c r="D34" s="7" t="s">
        <v>231</v>
      </c>
      <c r="E34" s="7" t="n">
        <v>6</v>
      </c>
      <c r="F34" s="7" t="s">
        <v>759</v>
      </c>
    </row>
    <row r="35" customFormat="false" ht="15" hidden="false" customHeight="false" outlineLevel="0" collapsed="false">
      <c r="A35" s="7" t="s">
        <v>757</v>
      </c>
      <c r="B35" s="7" t="s">
        <v>789</v>
      </c>
      <c r="C35" s="7" t="s">
        <v>288</v>
      </c>
      <c r="D35" s="7" t="s">
        <v>254</v>
      </c>
      <c r="E35" s="7" t="n">
        <v>8</v>
      </c>
      <c r="F35" s="7" t="s">
        <v>759</v>
      </c>
    </row>
    <row r="36" customFormat="false" ht="15" hidden="false" customHeight="false" outlineLevel="0" collapsed="false">
      <c r="A36" s="7" t="s">
        <v>757</v>
      </c>
      <c r="B36" s="7" t="s">
        <v>790</v>
      </c>
      <c r="C36" s="7" t="s">
        <v>288</v>
      </c>
      <c r="D36" s="7" t="s">
        <v>254</v>
      </c>
      <c r="E36" s="7" t="n">
        <v>4</v>
      </c>
      <c r="F36" s="7" t="s">
        <v>759</v>
      </c>
    </row>
    <row r="37" customFormat="false" ht="15" hidden="false" customHeight="false" outlineLevel="0" collapsed="false">
      <c r="A37" s="7" t="s">
        <v>757</v>
      </c>
      <c r="B37" s="7" t="s">
        <v>791</v>
      </c>
      <c r="C37" s="7" t="s">
        <v>288</v>
      </c>
      <c r="D37" s="7" t="s">
        <v>254</v>
      </c>
      <c r="E37" s="7" t="n">
        <v>3</v>
      </c>
      <c r="F37" s="7" t="s">
        <v>759</v>
      </c>
    </row>
    <row r="38" customFormat="false" ht="15" hidden="false" customHeight="false" outlineLevel="0" collapsed="false">
      <c r="A38" s="7" t="s">
        <v>757</v>
      </c>
      <c r="B38" s="7" t="s">
        <v>792</v>
      </c>
      <c r="C38" s="7" t="s">
        <v>290</v>
      </c>
      <c r="D38" s="7" t="s">
        <v>278</v>
      </c>
      <c r="E38" s="7" t="n">
        <v>10</v>
      </c>
      <c r="F38" s="7" t="s">
        <v>759</v>
      </c>
    </row>
    <row r="39" customFormat="false" ht="15" hidden="false" customHeight="false" outlineLevel="0" collapsed="false">
      <c r="A39" s="7" t="s">
        <v>757</v>
      </c>
      <c r="B39" s="7" t="s">
        <v>793</v>
      </c>
      <c r="C39" s="7" t="s">
        <v>290</v>
      </c>
      <c r="D39" s="7" t="s">
        <v>278</v>
      </c>
      <c r="E39" s="7" t="n">
        <v>2</v>
      </c>
      <c r="F39" s="7" t="s">
        <v>759</v>
      </c>
    </row>
    <row r="40" customFormat="false" ht="15" hidden="false" customHeight="false" outlineLevel="0" collapsed="false">
      <c r="A40" s="7" t="s">
        <v>757</v>
      </c>
      <c r="B40" s="7" t="s">
        <v>794</v>
      </c>
      <c r="C40" s="7" t="s">
        <v>293</v>
      </c>
      <c r="D40" s="7" t="s">
        <v>204</v>
      </c>
      <c r="E40" s="7" t="n">
        <v>4</v>
      </c>
      <c r="F40" s="7" t="s">
        <v>759</v>
      </c>
    </row>
    <row r="41" customFormat="false" ht="15" hidden="false" customHeight="false" outlineLevel="0" collapsed="false">
      <c r="A41" s="7" t="s">
        <v>757</v>
      </c>
      <c r="B41" s="7" t="s">
        <v>795</v>
      </c>
      <c r="C41" s="7" t="s">
        <v>293</v>
      </c>
      <c r="D41" s="7" t="s">
        <v>204</v>
      </c>
      <c r="E41" s="7" t="n">
        <v>2</v>
      </c>
      <c r="F41" s="7" t="s">
        <v>759</v>
      </c>
    </row>
    <row r="42" customFormat="false" ht="15" hidden="false" customHeight="false" outlineLevel="0" collapsed="false">
      <c r="A42" s="7" t="s">
        <v>757</v>
      </c>
      <c r="B42" s="7" t="s">
        <v>796</v>
      </c>
      <c r="C42" s="7" t="s">
        <v>296</v>
      </c>
      <c r="D42" s="7" t="s">
        <v>204</v>
      </c>
      <c r="E42" s="7" t="n">
        <v>4</v>
      </c>
      <c r="F42" s="7" t="s">
        <v>759</v>
      </c>
    </row>
    <row r="43" customFormat="false" ht="15" hidden="false" customHeight="false" outlineLevel="0" collapsed="false">
      <c r="A43" s="7" t="s">
        <v>757</v>
      </c>
      <c r="B43" s="7" t="s">
        <v>797</v>
      </c>
      <c r="C43" s="7" t="s">
        <v>296</v>
      </c>
      <c r="D43" s="7" t="s">
        <v>204</v>
      </c>
      <c r="E43" s="7" t="n">
        <v>2</v>
      </c>
      <c r="F43" s="7" t="s">
        <v>759</v>
      </c>
    </row>
    <row r="44" customFormat="false" ht="15" hidden="false" customHeight="false" outlineLevel="0" collapsed="false">
      <c r="A44" s="7" t="s">
        <v>757</v>
      </c>
      <c r="B44" s="7" t="s">
        <v>798</v>
      </c>
      <c r="C44" s="7" t="s">
        <v>298</v>
      </c>
      <c r="D44" s="7" t="s">
        <v>204</v>
      </c>
      <c r="E44" s="7" t="n">
        <v>4</v>
      </c>
      <c r="F44" s="7" t="s">
        <v>759</v>
      </c>
    </row>
    <row r="45" customFormat="false" ht="15" hidden="false" customHeight="false" outlineLevel="0" collapsed="false">
      <c r="A45" s="7" t="s">
        <v>757</v>
      </c>
      <c r="B45" s="7" t="s">
        <v>799</v>
      </c>
      <c r="C45" s="7" t="s">
        <v>298</v>
      </c>
      <c r="D45" s="7" t="s">
        <v>204</v>
      </c>
      <c r="E45" s="7" t="n">
        <v>2</v>
      </c>
      <c r="F45" s="7" t="s">
        <v>759</v>
      </c>
    </row>
    <row r="46" customFormat="false" ht="15" hidden="false" customHeight="false" outlineLevel="0" collapsed="false">
      <c r="A46" s="7" t="s">
        <v>757</v>
      </c>
      <c r="B46" s="7" t="s">
        <v>800</v>
      </c>
      <c r="C46" s="7" t="s">
        <v>300</v>
      </c>
      <c r="D46" s="7" t="s">
        <v>246</v>
      </c>
      <c r="E46" s="7" t="n">
        <v>4</v>
      </c>
      <c r="F46" s="7" t="s">
        <v>759</v>
      </c>
    </row>
    <row r="47" customFormat="false" ht="15" hidden="false" customHeight="false" outlineLevel="0" collapsed="false">
      <c r="A47" s="7" t="s">
        <v>757</v>
      </c>
      <c r="B47" s="7" t="s">
        <v>801</v>
      </c>
      <c r="C47" s="7" t="s">
        <v>300</v>
      </c>
      <c r="D47" s="7" t="s">
        <v>246</v>
      </c>
      <c r="E47" s="7" t="n">
        <v>8</v>
      </c>
      <c r="F47" s="7" t="s">
        <v>759</v>
      </c>
    </row>
    <row r="48" customFormat="false" ht="15" hidden="false" customHeight="false" outlineLevel="0" collapsed="false">
      <c r="A48" s="7" t="s">
        <v>757</v>
      </c>
      <c r="B48" s="7" t="s">
        <v>802</v>
      </c>
      <c r="C48" s="7" t="s">
        <v>300</v>
      </c>
      <c r="D48" s="7" t="s">
        <v>246</v>
      </c>
      <c r="E48" s="7" t="n">
        <v>4</v>
      </c>
      <c r="F48" s="7" t="s">
        <v>759</v>
      </c>
    </row>
    <row r="49" customFormat="false" ht="15" hidden="false" customHeight="false" outlineLevel="0" collapsed="false">
      <c r="A49" s="7" t="s">
        <v>757</v>
      </c>
      <c r="B49" s="7" t="s">
        <v>803</v>
      </c>
      <c r="C49" s="7" t="s">
        <v>302</v>
      </c>
      <c r="D49" s="7" t="s">
        <v>251</v>
      </c>
      <c r="E49" s="7" t="n">
        <v>4</v>
      </c>
      <c r="F49" s="7" t="s">
        <v>759</v>
      </c>
    </row>
    <row r="50" customFormat="false" ht="15" hidden="false" customHeight="false" outlineLevel="0" collapsed="false">
      <c r="A50" s="7" t="s">
        <v>757</v>
      </c>
      <c r="B50" s="7" t="s">
        <v>804</v>
      </c>
      <c r="C50" s="7" t="s">
        <v>302</v>
      </c>
      <c r="D50" s="7" t="s">
        <v>251</v>
      </c>
      <c r="E50" s="7" t="n">
        <v>8</v>
      </c>
      <c r="F50" s="7" t="s">
        <v>759</v>
      </c>
    </row>
    <row r="51" customFormat="false" ht="23.85" hidden="false" customHeight="false" outlineLevel="0" collapsed="false">
      <c r="A51" s="7" t="s">
        <v>757</v>
      </c>
      <c r="B51" s="7" t="s">
        <v>805</v>
      </c>
      <c r="C51" s="7" t="s">
        <v>302</v>
      </c>
      <c r="D51" s="7" t="s">
        <v>251</v>
      </c>
      <c r="E51" s="7" t="n">
        <v>4</v>
      </c>
      <c r="F51" s="7" t="s">
        <v>759</v>
      </c>
    </row>
    <row r="52" customFormat="false" ht="15" hidden="false" customHeight="false" outlineLevel="0" collapsed="false">
      <c r="A52" s="7" t="s">
        <v>757</v>
      </c>
      <c r="B52" s="7" t="s">
        <v>806</v>
      </c>
      <c r="C52" s="7" t="s">
        <v>304</v>
      </c>
      <c r="D52" s="7" t="s">
        <v>210</v>
      </c>
      <c r="E52" s="7" t="n">
        <v>4</v>
      </c>
      <c r="F52" s="7" t="s">
        <v>759</v>
      </c>
    </row>
    <row r="53" customFormat="false" ht="15" hidden="false" customHeight="false" outlineLevel="0" collapsed="false">
      <c r="A53" s="7" t="s">
        <v>757</v>
      </c>
      <c r="B53" s="7" t="s">
        <v>807</v>
      </c>
      <c r="C53" s="7" t="s">
        <v>304</v>
      </c>
      <c r="D53" s="7" t="s">
        <v>210</v>
      </c>
      <c r="E53" s="7" t="n">
        <v>2</v>
      </c>
      <c r="F53" s="7" t="s">
        <v>759</v>
      </c>
    </row>
    <row r="54" customFormat="false" ht="15" hidden="false" customHeight="false" outlineLevel="0" collapsed="false">
      <c r="A54" s="7" t="s">
        <v>757</v>
      </c>
      <c r="B54" s="7" t="s">
        <v>808</v>
      </c>
      <c r="C54" s="7" t="s">
        <v>306</v>
      </c>
      <c r="D54" s="7" t="s">
        <v>210</v>
      </c>
      <c r="E54" s="7" t="n">
        <v>4</v>
      </c>
      <c r="F54" s="7" t="s">
        <v>759</v>
      </c>
    </row>
    <row r="55" customFormat="false" ht="15" hidden="false" customHeight="false" outlineLevel="0" collapsed="false">
      <c r="A55" s="7" t="s">
        <v>757</v>
      </c>
      <c r="B55" s="7" t="s">
        <v>809</v>
      </c>
      <c r="C55" s="7" t="s">
        <v>306</v>
      </c>
      <c r="D55" s="7" t="s">
        <v>210</v>
      </c>
      <c r="E55" s="7" t="n">
        <v>2</v>
      </c>
      <c r="F55" s="7" t="s">
        <v>759</v>
      </c>
    </row>
    <row r="56" customFormat="false" ht="15" hidden="false" customHeight="false" outlineLevel="0" collapsed="false">
      <c r="A56" s="7" t="s">
        <v>757</v>
      </c>
      <c r="B56" s="7" t="s">
        <v>810</v>
      </c>
      <c r="C56" s="7" t="s">
        <v>308</v>
      </c>
      <c r="D56" s="7" t="s">
        <v>278</v>
      </c>
      <c r="E56" s="7" t="n">
        <v>10</v>
      </c>
      <c r="F56" s="7" t="s">
        <v>759</v>
      </c>
    </row>
    <row r="57" customFormat="false" ht="23.85" hidden="false" customHeight="false" outlineLevel="0" collapsed="false">
      <c r="A57" s="7" t="s">
        <v>757</v>
      </c>
      <c r="B57" s="7" t="s">
        <v>811</v>
      </c>
      <c r="C57" s="7" t="s">
        <v>308</v>
      </c>
      <c r="D57" s="7" t="s">
        <v>278</v>
      </c>
      <c r="E57" s="7" t="n">
        <v>2</v>
      </c>
      <c r="F57" s="7" t="s">
        <v>759</v>
      </c>
    </row>
    <row r="58" customFormat="false" ht="15" hidden="false" customHeight="false" outlineLevel="0" collapsed="false">
      <c r="A58" s="7" t="s">
        <v>757</v>
      </c>
      <c r="B58" s="7" t="s">
        <v>812</v>
      </c>
      <c r="C58" s="7" t="s">
        <v>310</v>
      </c>
      <c r="D58" s="7" t="s">
        <v>278</v>
      </c>
      <c r="E58" s="7" t="n">
        <v>10</v>
      </c>
      <c r="F58" s="7" t="s">
        <v>759</v>
      </c>
    </row>
    <row r="59" customFormat="false" ht="15" hidden="false" customHeight="false" outlineLevel="0" collapsed="false">
      <c r="A59" s="7" t="s">
        <v>757</v>
      </c>
      <c r="B59" s="7" t="s">
        <v>813</v>
      </c>
      <c r="C59" s="7" t="s">
        <v>310</v>
      </c>
      <c r="D59" s="7" t="s">
        <v>278</v>
      </c>
      <c r="E59" s="7" t="n">
        <v>2</v>
      </c>
      <c r="F59" s="7" t="s">
        <v>759</v>
      </c>
    </row>
    <row r="60" customFormat="false" ht="15" hidden="false" customHeight="false" outlineLevel="0" collapsed="false">
      <c r="A60" s="7" t="s">
        <v>757</v>
      </c>
      <c r="B60" s="7" t="s">
        <v>814</v>
      </c>
      <c r="C60" s="7" t="s">
        <v>312</v>
      </c>
      <c r="D60" s="7" t="s">
        <v>278</v>
      </c>
      <c r="E60" s="7" t="n">
        <v>10</v>
      </c>
      <c r="F60" s="7" t="s">
        <v>759</v>
      </c>
    </row>
    <row r="61" customFormat="false" ht="15" hidden="false" customHeight="false" outlineLevel="0" collapsed="false">
      <c r="A61" s="7" t="s">
        <v>757</v>
      </c>
      <c r="B61" s="7" t="s">
        <v>815</v>
      </c>
      <c r="C61" s="7" t="s">
        <v>312</v>
      </c>
      <c r="D61" s="7" t="s">
        <v>278</v>
      </c>
      <c r="E61" s="7" t="n">
        <v>2</v>
      </c>
      <c r="F61" s="7" t="s">
        <v>759</v>
      </c>
    </row>
    <row r="62" customFormat="false" ht="15" hidden="false" customHeight="false" outlineLevel="0" collapsed="false">
      <c r="A62" s="7" t="s">
        <v>757</v>
      </c>
      <c r="B62" s="7" t="s">
        <v>816</v>
      </c>
      <c r="C62" s="7" t="s">
        <v>314</v>
      </c>
      <c r="D62" s="7" t="s">
        <v>278</v>
      </c>
      <c r="E62" s="7" t="n">
        <v>10</v>
      </c>
      <c r="F62" s="7" t="s">
        <v>759</v>
      </c>
    </row>
    <row r="63" customFormat="false" ht="15" hidden="false" customHeight="false" outlineLevel="0" collapsed="false">
      <c r="A63" s="7" t="s">
        <v>757</v>
      </c>
      <c r="B63" s="7" t="s">
        <v>817</v>
      </c>
      <c r="C63" s="7" t="s">
        <v>314</v>
      </c>
      <c r="D63" s="7" t="s">
        <v>278</v>
      </c>
      <c r="E63" s="7" t="n">
        <v>2</v>
      </c>
      <c r="F63" s="7" t="s">
        <v>759</v>
      </c>
    </row>
    <row r="64" customFormat="false" ht="15" hidden="false" customHeight="false" outlineLevel="0" collapsed="false">
      <c r="A64" s="7" t="s">
        <v>757</v>
      </c>
      <c r="B64" s="7" t="s">
        <v>818</v>
      </c>
      <c r="C64" s="7" t="s">
        <v>317</v>
      </c>
      <c r="D64" s="7" t="s">
        <v>278</v>
      </c>
      <c r="E64" s="7" t="n">
        <v>10</v>
      </c>
      <c r="F64" s="7" t="s">
        <v>759</v>
      </c>
    </row>
    <row r="65" customFormat="false" ht="15" hidden="false" customHeight="false" outlineLevel="0" collapsed="false">
      <c r="A65" s="7" t="s">
        <v>757</v>
      </c>
      <c r="B65" s="7" t="s">
        <v>819</v>
      </c>
      <c r="C65" s="7" t="s">
        <v>317</v>
      </c>
      <c r="D65" s="7" t="s">
        <v>278</v>
      </c>
      <c r="E65" s="7" t="n">
        <v>2</v>
      </c>
      <c r="F65" s="7" t="s">
        <v>759</v>
      </c>
    </row>
    <row r="66" customFormat="false" ht="15" hidden="false" customHeight="false" outlineLevel="0" collapsed="false">
      <c r="A66" s="7" t="s">
        <v>757</v>
      </c>
      <c r="B66" s="7" t="s">
        <v>820</v>
      </c>
      <c r="C66" s="7" t="s">
        <v>319</v>
      </c>
      <c r="D66" s="7" t="s">
        <v>278</v>
      </c>
      <c r="E66" s="7" t="n">
        <v>10</v>
      </c>
      <c r="F66" s="7" t="s">
        <v>759</v>
      </c>
    </row>
    <row r="67" customFormat="false" ht="15" hidden="false" customHeight="false" outlineLevel="0" collapsed="false">
      <c r="A67" s="7" t="s">
        <v>757</v>
      </c>
      <c r="B67" s="7" t="s">
        <v>821</v>
      </c>
      <c r="C67" s="7" t="s">
        <v>319</v>
      </c>
      <c r="D67" s="7" t="s">
        <v>278</v>
      </c>
      <c r="E67" s="7" t="n">
        <v>2</v>
      </c>
      <c r="F67" s="7" t="s">
        <v>759</v>
      </c>
    </row>
    <row r="68" customFormat="false" ht="15" hidden="false" customHeight="false" outlineLevel="0" collapsed="false">
      <c r="A68" s="7" t="s">
        <v>757</v>
      </c>
      <c r="B68" s="7" t="s">
        <v>822</v>
      </c>
      <c r="C68" s="7" t="s">
        <v>321</v>
      </c>
      <c r="D68" s="7" t="s">
        <v>278</v>
      </c>
      <c r="E68" s="7" t="n">
        <v>10</v>
      </c>
      <c r="F68" s="7" t="s">
        <v>759</v>
      </c>
    </row>
    <row r="69" customFormat="false" ht="15" hidden="false" customHeight="false" outlineLevel="0" collapsed="false">
      <c r="A69" s="7" t="s">
        <v>757</v>
      </c>
      <c r="B69" s="7" t="s">
        <v>823</v>
      </c>
      <c r="C69" s="7" t="s">
        <v>321</v>
      </c>
      <c r="D69" s="7" t="s">
        <v>278</v>
      </c>
      <c r="E69" s="7" t="n">
        <v>2</v>
      </c>
      <c r="F69" s="7" t="s">
        <v>759</v>
      </c>
    </row>
    <row r="70" customFormat="false" ht="15" hidden="false" customHeight="false" outlineLevel="0" collapsed="false">
      <c r="A70" s="7" t="s">
        <v>757</v>
      </c>
      <c r="B70" s="7" t="s">
        <v>824</v>
      </c>
      <c r="C70" s="7" t="s">
        <v>324</v>
      </c>
      <c r="D70" s="7" t="s">
        <v>278</v>
      </c>
      <c r="E70" s="7" t="n">
        <v>10</v>
      </c>
      <c r="F70" s="7" t="s">
        <v>759</v>
      </c>
    </row>
    <row r="71" customFormat="false" ht="15" hidden="false" customHeight="false" outlineLevel="0" collapsed="false">
      <c r="A71" s="7" t="s">
        <v>757</v>
      </c>
      <c r="B71" s="7" t="s">
        <v>825</v>
      </c>
      <c r="C71" s="7" t="s">
        <v>324</v>
      </c>
      <c r="D71" s="7" t="s">
        <v>278</v>
      </c>
      <c r="E71" s="7" t="n">
        <v>2</v>
      </c>
      <c r="F71" s="7" t="s">
        <v>759</v>
      </c>
    </row>
    <row r="72" customFormat="false" ht="15" hidden="false" customHeight="false" outlineLevel="0" collapsed="false">
      <c r="A72" s="7" t="s">
        <v>757</v>
      </c>
      <c r="B72" s="7" t="s">
        <v>826</v>
      </c>
      <c r="C72" s="7" t="s">
        <v>326</v>
      </c>
      <c r="D72" s="7" t="s">
        <v>231</v>
      </c>
      <c r="E72" s="7" t="n">
        <v>4</v>
      </c>
      <c r="F72" s="7" t="s">
        <v>759</v>
      </c>
    </row>
    <row r="73" customFormat="false" ht="15" hidden="false" customHeight="false" outlineLevel="0" collapsed="false">
      <c r="A73" s="7" t="s">
        <v>757</v>
      </c>
      <c r="B73" s="7" t="s">
        <v>827</v>
      </c>
      <c r="C73" s="7" t="s">
        <v>326</v>
      </c>
      <c r="D73" s="7" t="s">
        <v>231</v>
      </c>
      <c r="E73" s="7" t="n">
        <v>6</v>
      </c>
      <c r="F73" s="7" t="s">
        <v>759</v>
      </c>
    </row>
    <row r="74" customFormat="false" ht="15" hidden="false" customHeight="false" outlineLevel="0" collapsed="false">
      <c r="A74" s="7" t="s">
        <v>757</v>
      </c>
      <c r="B74" s="7" t="s">
        <v>828</v>
      </c>
      <c r="C74" s="7" t="s">
        <v>328</v>
      </c>
      <c r="D74" s="7" t="s">
        <v>231</v>
      </c>
      <c r="E74" s="7" t="n">
        <v>4</v>
      </c>
      <c r="F74" s="7" t="s">
        <v>759</v>
      </c>
    </row>
    <row r="75" customFormat="false" ht="15" hidden="false" customHeight="false" outlineLevel="0" collapsed="false">
      <c r="A75" s="7" t="s">
        <v>757</v>
      </c>
      <c r="B75" s="7" t="s">
        <v>829</v>
      </c>
      <c r="C75" s="7" t="s">
        <v>328</v>
      </c>
      <c r="D75" s="7" t="s">
        <v>231</v>
      </c>
      <c r="E75" s="7" t="n">
        <v>10</v>
      </c>
      <c r="F75" s="7" t="s">
        <v>759</v>
      </c>
    </row>
    <row r="76" customFormat="false" ht="15" hidden="false" customHeight="false" outlineLevel="0" collapsed="false">
      <c r="A76" s="7" t="s">
        <v>757</v>
      </c>
      <c r="B76" s="7" t="s">
        <v>830</v>
      </c>
      <c r="C76" s="7" t="s">
        <v>330</v>
      </c>
      <c r="D76" s="7" t="s">
        <v>254</v>
      </c>
      <c r="E76" s="7" t="n">
        <v>10</v>
      </c>
      <c r="F76" s="7" t="s">
        <v>759</v>
      </c>
    </row>
    <row r="77" customFormat="false" ht="23.85" hidden="false" customHeight="false" outlineLevel="0" collapsed="false">
      <c r="A77" s="7" t="s">
        <v>757</v>
      </c>
      <c r="B77" s="7" t="s">
        <v>831</v>
      </c>
      <c r="C77" s="7" t="s">
        <v>330</v>
      </c>
      <c r="D77" s="7" t="s">
        <v>254</v>
      </c>
      <c r="E77" s="7" t="n">
        <v>4</v>
      </c>
      <c r="F77" s="7" t="s">
        <v>759</v>
      </c>
    </row>
    <row r="78" customFormat="false" ht="15" hidden="false" customHeight="false" outlineLevel="0" collapsed="false">
      <c r="A78" s="7" t="s">
        <v>757</v>
      </c>
      <c r="B78" s="7" t="s">
        <v>832</v>
      </c>
      <c r="C78" s="7" t="s">
        <v>330</v>
      </c>
      <c r="D78" s="7" t="s">
        <v>254</v>
      </c>
      <c r="E78" s="7" t="n">
        <v>3</v>
      </c>
      <c r="F78" s="7" t="s">
        <v>759</v>
      </c>
    </row>
    <row r="79" customFormat="false" ht="15" hidden="false" customHeight="false" outlineLevel="0" collapsed="false">
      <c r="A79" s="7" t="s">
        <v>757</v>
      </c>
      <c r="B79" s="7" t="s">
        <v>833</v>
      </c>
      <c r="C79" s="7" t="s">
        <v>332</v>
      </c>
      <c r="D79" s="7" t="s">
        <v>258</v>
      </c>
      <c r="E79" s="7" t="n">
        <v>10</v>
      </c>
      <c r="F79" s="7" t="s">
        <v>759</v>
      </c>
    </row>
    <row r="80" customFormat="false" ht="23.85" hidden="false" customHeight="false" outlineLevel="0" collapsed="false">
      <c r="A80" s="7" t="s">
        <v>757</v>
      </c>
      <c r="B80" s="7" t="s">
        <v>834</v>
      </c>
      <c r="C80" s="7" t="s">
        <v>332</v>
      </c>
      <c r="D80" s="7" t="s">
        <v>258</v>
      </c>
      <c r="E80" s="7" t="n">
        <v>4</v>
      </c>
      <c r="F80" s="7" t="s">
        <v>759</v>
      </c>
    </row>
    <row r="81" customFormat="false" ht="15" hidden="false" customHeight="false" outlineLevel="0" collapsed="false">
      <c r="A81" s="7" t="s">
        <v>757</v>
      </c>
      <c r="B81" s="7" t="s">
        <v>835</v>
      </c>
      <c r="C81" s="7" t="s">
        <v>332</v>
      </c>
      <c r="D81" s="7" t="s">
        <v>258</v>
      </c>
      <c r="E81" s="7" t="n">
        <v>3</v>
      </c>
      <c r="F81" s="7" t="s">
        <v>759</v>
      </c>
    </row>
    <row r="82" customFormat="false" ht="15" hidden="false" customHeight="false" outlineLevel="0" collapsed="false">
      <c r="A82" s="7" t="s">
        <v>757</v>
      </c>
      <c r="B82" s="7" t="s">
        <v>836</v>
      </c>
      <c r="C82" s="7" t="s">
        <v>333</v>
      </c>
      <c r="D82" s="7" t="s">
        <v>246</v>
      </c>
      <c r="E82" s="7" t="n">
        <v>4</v>
      </c>
      <c r="F82" s="7" t="s">
        <v>759</v>
      </c>
    </row>
    <row r="83" customFormat="false" ht="15" hidden="false" customHeight="false" outlineLevel="0" collapsed="false">
      <c r="A83" s="7" t="s">
        <v>757</v>
      </c>
      <c r="B83" s="7" t="s">
        <v>837</v>
      </c>
      <c r="C83" s="7" t="s">
        <v>333</v>
      </c>
      <c r="D83" s="7" t="s">
        <v>246</v>
      </c>
      <c r="E83" s="7" t="n">
        <v>8</v>
      </c>
      <c r="F83" s="7" t="s">
        <v>759</v>
      </c>
    </row>
    <row r="84" customFormat="false" ht="15" hidden="false" customHeight="false" outlineLevel="0" collapsed="false">
      <c r="A84" s="7" t="s">
        <v>757</v>
      </c>
      <c r="B84" s="7" t="s">
        <v>838</v>
      </c>
      <c r="C84" s="7" t="s">
        <v>333</v>
      </c>
      <c r="D84" s="7" t="s">
        <v>246</v>
      </c>
      <c r="E84" s="7" t="n">
        <v>4</v>
      </c>
      <c r="F84" s="7" t="s">
        <v>759</v>
      </c>
    </row>
    <row r="85" customFormat="false" ht="15" hidden="false" customHeight="false" outlineLevel="0" collapsed="false">
      <c r="A85" s="7" t="s">
        <v>757</v>
      </c>
      <c r="B85" s="7" t="s">
        <v>839</v>
      </c>
      <c r="C85" s="7" t="s">
        <v>336</v>
      </c>
      <c r="D85" s="7" t="s">
        <v>251</v>
      </c>
      <c r="E85" s="7" t="n">
        <v>4</v>
      </c>
      <c r="F85" s="7" t="s">
        <v>759</v>
      </c>
    </row>
    <row r="86" customFormat="false" ht="15" hidden="false" customHeight="false" outlineLevel="0" collapsed="false">
      <c r="A86" s="7" t="s">
        <v>757</v>
      </c>
      <c r="B86" s="7" t="s">
        <v>840</v>
      </c>
      <c r="C86" s="7" t="s">
        <v>336</v>
      </c>
      <c r="D86" s="7" t="s">
        <v>251</v>
      </c>
      <c r="E86" s="7" t="n">
        <v>8</v>
      </c>
      <c r="F86" s="7" t="s">
        <v>759</v>
      </c>
    </row>
    <row r="87" customFormat="false" ht="15" hidden="false" customHeight="false" outlineLevel="0" collapsed="false">
      <c r="A87" s="7" t="s">
        <v>757</v>
      </c>
      <c r="B87" s="7" t="s">
        <v>841</v>
      </c>
      <c r="C87" s="7" t="s">
        <v>336</v>
      </c>
      <c r="D87" s="7" t="s">
        <v>251</v>
      </c>
      <c r="E87" s="7" t="n">
        <v>4</v>
      </c>
      <c r="F87" s="7" t="s">
        <v>759</v>
      </c>
    </row>
    <row r="88" customFormat="false" ht="15" hidden="false" customHeight="false" outlineLevel="0" collapsed="false">
      <c r="A88" s="7" t="s">
        <v>757</v>
      </c>
      <c r="B88" s="7" t="s">
        <v>842</v>
      </c>
      <c r="C88" s="7" t="s">
        <v>340</v>
      </c>
      <c r="D88" s="7" t="s">
        <v>246</v>
      </c>
      <c r="E88" s="7" t="n">
        <v>4</v>
      </c>
      <c r="F88" s="7" t="s">
        <v>759</v>
      </c>
    </row>
    <row r="89" customFormat="false" ht="15" hidden="false" customHeight="false" outlineLevel="0" collapsed="false">
      <c r="A89" s="7" t="s">
        <v>757</v>
      </c>
      <c r="B89" s="7" t="s">
        <v>843</v>
      </c>
      <c r="C89" s="7" t="s">
        <v>340</v>
      </c>
      <c r="D89" s="7" t="s">
        <v>246</v>
      </c>
      <c r="E89" s="7" t="n">
        <v>16</v>
      </c>
      <c r="F89" s="7" t="s">
        <v>759</v>
      </c>
    </row>
    <row r="90" customFormat="false" ht="15" hidden="false" customHeight="false" outlineLevel="0" collapsed="false">
      <c r="A90" s="7" t="s">
        <v>757</v>
      </c>
      <c r="B90" s="7" t="s">
        <v>844</v>
      </c>
      <c r="C90" s="7" t="s">
        <v>340</v>
      </c>
      <c r="D90" s="7" t="s">
        <v>246</v>
      </c>
      <c r="E90" s="7" t="n">
        <v>4</v>
      </c>
      <c r="F90" s="7" t="s">
        <v>759</v>
      </c>
    </row>
    <row r="91" customFormat="false" ht="15" hidden="false" customHeight="false" outlineLevel="0" collapsed="false">
      <c r="A91" s="7" t="s">
        <v>757</v>
      </c>
      <c r="B91" s="7" t="s">
        <v>845</v>
      </c>
      <c r="C91" s="7" t="s">
        <v>343</v>
      </c>
      <c r="D91" s="7" t="s">
        <v>246</v>
      </c>
      <c r="E91" s="7" t="n">
        <v>4</v>
      </c>
      <c r="F91" s="7" t="s">
        <v>759</v>
      </c>
    </row>
    <row r="92" customFormat="false" ht="15" hidden="false" customHeight="false" outlineLevel="0" collapsed="false">
      <c r="A92" s="7" t="s">
        <v>757</v>
      </c>
      <c r="B92" s="7" t="s">
        <v>846</v>
      </c>
      <c r="C92" s="7" t="s">
        <v>343</v>
      </c>
      <c r="D92" s="7" t="s">
        <v>246</v>
      </c>
      <c r="E92" s="7" t="n">
        <v>10</v>
      </c>
      <c r="F92" s="7" t="s">
        <v>759</v>
      </c>
    </row>
    <row r="93" customFormat="false" ht="15" hidden="false" customHeight="false" outlineLevel="0" collapsed="false">
      <c r="A93" s="7" t="s">
        <v>757</v>
      </c>
      <c r="B93" s="7" t="s">
        <v>847</v>
      </c>
      <c r="C93" s="7" t="s">
        <v>343</v>
      </c>
      <c r="D93" s="7" t="s">
        <v>246</v>
      </c>
      <c r="E93" s="7" t="n">
        <v>4</v>
      </c>
      <c r="F93" s="7" t="s">
        <v>759</v>
      </c>
    </row>
    <row r="94" customFormat="false" ht="15" hidden="false" customHeight="false" outlineLevel="0" collapsed="false">
      <c r="A94" s="7" t="s">
        <v>757</v>
      </c>
      <c r="B94" s="7" t="s">
        <v>848</v>
      </c>
      <c r="C94" s="7" t="s">
        <v>345</v>
      </c>
      <c r="D94" s="7" t="s">
        <v>251</v>
      </c>
      <c r="E94" s="7" t="n">
        <v>4</v>
      </c>
      <c r="F94" s="7" t="s">
        <v>759</v>
      </c>
    </row>
    <row r="95" customFormat="false" ht="15" hidden="false" customHeight="false" outlineLevel="0" collapsed="false">
      <c r="A95" s="7" t="s">
        <v>757</v>
      </c>
      <c r="B95" s="7" t="s">
        <v>849</v>
      </c>
      <c r="C95" s="7" t="s">
        <v>345</v>
      </c>
      <c r="D95" s="7" t="s">
        <v>251</v>
      </c>
      <c r="E95" s="7" t="n">
        <v>16</v>
      </c>
      <c r="F95" s="7" t="s">
        <v>759</v>
      </c>
    </row>
    <row r="96" customFormat="false" ht="15" hidden="false" customHeight="false" outlineLevel="0" collapsed="false">
      <c r="A96" s="7" t="s">
        <v>757</v>
      </c>
      <c r="B96" s="7" t="s">
        <v>850</v>
      </c>
      <c r="C96" s="7" t="s">
        <v>345</v>
      </c>
      <c r="D96" s="7" t="s">
        <v>251</v>
      </c>
      <c r="E96" s="7" t="n">
        <v>4</v>
      </c>
      <c r="F96" s="7" t="s">
        <v>759</v>
      </c>
    </row>
    <row r="97" customFormat="false" ht="15" hidden="false" customHeight="false" outlineLevel="0" collapsed="false">
      <c r="A97" s="7" t="s">
        <v>757</v>
      </c>
      <c r="B97" s="7" t="s">
        <v>851</v>
      </c>
      <c r="C97" s="7" t="s">
        <v>347</v>
      </c>
      <c r="D97" s="7" t="s">
        <v>251</v>
      </c>
      <c r="E97" s="7" t="n">
        <v>4</v>
      </c>
      <c r="F97" s="7" t="s">
        <v>759</v>
      </c>
    </row>
    <row r="98" customFormat="false" ht="15" hidden="false" customHeight="false" outlineLevel="0" collapsed="false">
      <c r="A98" s="7" t="s">
        <v>757</v>
      </c>
      <c r="B98" s="7" t="s">
        <v>852</v>
      </c>
      <c r="C98" s="7" t="s">
        <v>347</v>
      </c>
      <c r="D98" s="7" t="s">
        <v>251</v>
      </c>
      <c r="E98" s="7" t="n">
        <v>10</v>
      </c>
      <c r="F98" s="7" t="s">
        <v>759</v>
      </c>
    </row>
    <row r="99" customFormat="false" ht="15" hidden="false" customHeight="false" outlineLevel="0" collapsed="false">
      <c r="A99" s="7" t="s">
        <v>757</v>
      </c>
      <c r="B99" s="7" t="s">
        <v>853</v>
      </c>
      <c r="C99" s="7" t="s">
        <v>347</v>
      </c>
      <c r="D99" s="7" t="s">
        <v>251</v>
      </c>
      <c r="E99" s="7" t="n">
        <v>4</v>
      </c>
      <c r="F99" s="7" t="s">
        <v>759</v>
      </c>
    </row>
    <row r="100" customFormat="false" ht="23.85" hidden="false" customHeight="false" outlineLevel="0" collapsed="false">
      <c r="A100" s="7" t="s">
        <v>757</v>
      </c>
      <c r="B100" s="7" t="s">
        <v>854</v>
      </c>
      <c r="C100" s="7" t="s">
        <v>349</v>
      </c>
      <c r="D100" s="7" t="s">
        <v>246</v>
      </c>
      <c r="E100" s="7" t="n">
        <v>4</v>
      </c>
      <c r="F100" s="7" t="s">
        <v>759</v>
      </c>
    </row>
    <row r="101" customFormat="false" ht="15" hidden="false" customHeight="false" outlineLevel="0" collapsed="false">
      <c r="A101" s="7" t="s">
        <v>757</v>
      </c>
      <c r="B101" s="7" t="s">
        <v>855</v>
      </c>
      <c r="C101" s="7" t="s">
        <v>349</v>
      </c>
      <c r="D101" s="7" t="s">
        <v>246</v>
      </c>
      <c r="E101" s="7" t="n">
        <v>10</v>
      </c>
      <c r="F101" s="7" t="s">
        <v>759</v>
      </c>
    </row>
    <row r="102" customFormat="false" ht="23.85" hidden="false" customHeight="false" outlineLevel="0" collapsed="false">
      <c r="A102" s="7" t="s">
        <v>757</v>
      </c>
      <c r="B102" s="7" t="s">
        <v>856</v>
      </c>
      <c r="C102" s="7" t="s">
        <v>349</v>
      </c>
      <c r="D102" s="7" t="s">
        <v>246</v>
      </c>
      <c r="E102" s="7" t="n">
        <v>4</v>
      </c>
      <c r="F102" s="7" t="s">
        <v>759</v>
      </c>
    </row>
    <row r="103" customFormat="false" ht="15" hidden="false" customHeight="false" outlineLevel="0" collapsed="false">
      <c r="A103" s="7" t="s">
        <v>757</v>
      </c>
      <c r="B103" s="7" t="s">
        <v>857</v>
      </c>
      <c r="C103" s="7" t="s">
        <v>351</v>
      </c>
      <c r="D103" s="7" t="s">
        <v>251</v>
      </c>
      <c r="E103" s="7" t="n">
        <v>4</v>
      </c>
      <c r="F103" s="7" t="s">
        <v>759</v>
      </c>
    </row>
    <row r="104" customFormat="false" ht="15" hidden="false" customHeight="false" outlineLevel="0" collapsed="false">
      <c r="A104" s="7" t="s">
        <v>757</v>
      </c>
      <c r="B104" s="7" t="s">
        <v>858</v>
      </c>
      <c r="C104" s="7" t="s">
        <v>351</v>
      </c>
      <c r="D104" s="7" t="s">
        <v>251</v>
      </c>
      <c r="E104" s="7" t="n">
        <v>10</v>
      </c>
      <c r="F104" s="7" t="s">
        <v>759</v>
      </c>
    </row>
    <row r="105" customFormat="false" ht="15" hidden="false" customHeight="false" outlineLevel="0" collapsed="false">
      <c r="A105" s="7" t="s">
        <v>757</v>
      </c>
      <c r="B105" s="7" t="s">
        <v>859</v>
      </c>
      <c r="C105" s="7" t="s">
        <v>351</v>
      </c>
      <c r="D105" s="7" t="s">
        <v>251</v>
      </c>
      <c r="E105" s="7" t="n">
        <v>4</v>
      </c>
      <c r="F105" s="7" t="s">
        <v>759</v>
      </c>
    </row>
    <row r="106" customFormat="false" ht="15" hidden="false" customHeight="false" outlineLevel="0" collapsed="false">
      <c r="A106" s="7" t="s">
        <v>757</v>
      </c>
      <c r="B106" s="7" t="s">
        <v>860</v>
      </c>
      <c r="C106" s="7" t="s">
        <v>353</v>
      </c>
      <c r="D106" s="7" t="s">
        <v>254</v>
      </c>
      <c r="E106" s="7" t="n">
        <v>10</v>
      </c>
      <c r="F106" s="7" t="s">
        <v>759</v>
      </c>
    </row>
    <row r="107" customFormat="false" ht="15" hidden="false" customHeight="false" outlineLevel="0" collapsed="false">
      <c r="A107" s="7" t="s">
        <v>757</v>
      </c>
      <c r="B107" s="7" t="s">
        <v>861</v>
      </c>
      <c r="C107" s="7" t="s">
        <v>353</v>
      </c>
      <c r="D107" s="7" t="s">
        <v>254</v>
      </c>
      <c r="E107" s="7" t="n">
        <v>4</v>
      </c>
      <c r="F107" s="7" t="s">
        <v>759</v>
      </c>
    </row>
    <row r="108" customFormat="false" ht="15" hidden="false" customHeight="false" outlineLevel="0" collapsed="false">
      <c r="A108" s="7" t="s">
        <v>757</v>
      </c>
      <c r="B108" s="7" t="s">
        <v>862</v>
      </c>
      <c r="C108" s="7" t="s">
        <v>353</v>
      </c>
      <c r="D108" s="7" t="s">
        <v>254</v>
      </c>
      <c r="E108" s="7" t="n">
        <v>3</v>
      </c>
      <c r="F108" s="7" t="s">
        <v>759</v>
      </c>
    </row>
    <row r="109" customFormat="false" ht="15" hidden="false" customHeight="false" outlineLevel="0" collapsed="false">
      <c r="A109" s="7" t="s">
        <v>757</v>
      </c>
      <c r="B109" s="7" t="s">
        <v>863</v>
      </c>
      <c r="C109" s="7" t="s">
        <v>356</v>
      </c>
      <c r="D109" s="7" t="s">
        <v>254</v>
      </c>
      <c r="E109" s="7" t="n">
        <v>8</v>
      </c>
      <c r="F109" s="7" t="s">
        <v>759</v>
      </c>
    </row>
    <row r="110" customFormat="false" ht="15" hidden="false" customHeight="false" outlineLevel="0" collapsed="false">
      <c r="A110" s="7" t="s">
        <v>757</v>
      </c>
      <c r="B110" s="7" t="s">
        <v>864</v>
      </c>
      <c r="C110" s="7" t="s">
        <v>356</v>
      </c>
      <c r="D110" s="7" t="s">
        <v>254</v>
      </c>
      <c r="E110" s="7" t="n">
        <v>4</v>
      </c>
      <c r="F110" s="7" t="s">
        <v>759</v>
      </c>
    </row>
    <row r="111" customFormat="false" ht="15" hidden="false" customHeight="false" outlineLevel="0" collapsed="false">
      <c r="A111" s="7" t="s">
        <v>757</v>
      </c>
      <c r="B111" s="7" t="s">
        <v>865</v>
      </c>
      <c r="C111" s="7" t="s">
        <v>356</v>
      </c>
      <c r="D111" s="7" t="s">
        <v>254</v>
      </c>
      <c r="E111" s="7" t="n">
        <v>3</v>
      </c>
      <c r="F111" s="7" t="s">
        <v>759</v>
      </c>
    </row>
    <row r="112" customFormat="false" ht="23.85" hidden="false" customHeight="false" outlineLevel="0" collapsed="false">
      <c r="A112" s="7" t="s">
        <v>757</v>
      </c>
      <c r="B112" s="7" t="s">
        <v>866</v>
      </c>
      <c r="C112" s="7" t="s">
        <v>358</v>
      </c>
      <c r="D112" s="7" t="s">
        <v>258</v>
      </c>
      <c r="E112" s="7" t="n">
        <v>8</v>
      </c>
      <c r="F112" s="7" t="s">
        <v>759</v>
      </c>
    </row>
    <row r="113" customFormat="false" ht="23.85" hidden="false" customHeight="false" outlineLevel="0" collapsed="false">
      <c r="A113" s="7" t="s">
        <v>757</v>
      </c>
      <c r="B113" s="7" t="s">
        <v>867</v>
      </c>
      <c r="C113" s="7" t="s">
        <v>358</v>
      </c>
      <c r="D113" s="7" t="s">
        <v>258</v>
      </c>
      <c r="E113" s="7" t="n">
        <v>4</v>
      </c>
      <c r="F113" s="7" t="s">
        <v>759</v>
      </c>
    </row>
    <row r="114" customFormat="false" ht="15" hidden="false" customHeight="false" outlineLevel="0" collapsed="false">
      <c r="A114" s="7" t="s">
        <v>757</v>
      </c>
      <c r="B114" s="7" t="s">
        <v>868</v>
      </c>
      <c r="C114" s="7" t="s">
        <v>358</v>
      </c>
      <c r="D114" s="7" t="s">
        <v>258</v>
      </c>
      <c r="E114" s="7" t="n">
        <v>3</v>
      </c>
      <c r="F114" s="7" t="s">
        <v>759</v>
      </c>
    </row>
    <row r="115" customFormat="false" ht="15" hidden="false" customHeight="false" outlineLevel="0" collapsed="false">
      <c r="A115" s="7" t="s">
        <v>757</v>
      </c>
      <c r="B115" s="7" t="s">
        <v>869</v>
      </c>
      <c r="C115" s="7" t="s">
        <v>360</v>
      </c>
      <c r="D115" s="7" t="s">
        <v>231</v>
      </c>
      <c r="E115" s="7" t="n">
        <v>4</v>
      </c>
      <c r="F115" s="7" t="s">
        <v>759</v>
      </c>
    </row>
    <row r="116" customFormat="false" ht="15" hidden="false" customHeight="false" outlineLevel="0" collapsed="false">
      <c r="A116" s="7" t="s">
        <v>757</v>
      </c>
      <c r="B116" s="7" t="s">
        <v>870</v>
      </c>
      <c r="C116" s="7" t="s">
        <v>360</v>
      </c>
      <c r="D116" s="7" t="s">
        <v>231</v>
      </c>
      <c r="E116" s="7" t="n">
        <v>10</v>
      </c>
      <c r="F116" s="7" t="s">
        <v>759</v>
      </c>
    </row>
    <row r="117" customFormat="false" ht="15" hidden="false" customHeight="false" outlineLevel="0" collapsed="false">
      <c r="A117" s="7" t="s">
        <v>757</v>
      </c>
      <c r="B117" s="7" t="s">
        <v>871</v>
      </c>
      <c r="C117" s="7" t="s">
        <v>363</v>
      </c>
      <c r="D117" s="7" t="s">
        <v>246</v>
      </c>
      <c r="E117" s="7" t="n">
        <v>4</v>
      </c>
      <c r="F117" s="7" t="s">
        <v>759</v>
      </c>
    </row>
    <row r="118" customFormat="false" ht="15" hidden="false" customHeight="false" outlineLevel="0" collapsed="false">
      <c r="A118" s="7" t="s">
        <v>757</v>
      </c>
      <c r="B118" s="7" t="s">
        <v>872</v>
      </c>
      <c r="C118" s="7" t="s">
        <v>363</v>
      </c>
      <c r="D118" s="7" t="s">
        <v>246</v>
      </c>
      <c r="E118" s="7" t="n">
        <v>10</v>
      </c>
      <c r="F118" s="7" t="s">
        <v>759</v>
      </c>
    </row>
    <row r="119" customFormat="false" ht="15" hidden="false" customHeight="false" outlineLevel="0" collapsed="false">
      <c r="A119" s="7" t="s">
        <v>757</v>
      </c>
      <c r="B119" s="7" t="s">
        <v>873</v>
      </c>
      <c r="C119" s="7" t="s">
        <v>363</v>
      </c>
      <c r="D119" s="7" t="s">
        <v>246</v>
      </c>
      <c r="E119" s="7" t="n">
        <v>4</v>
      </c>
      <c r="F119" s="7" t="s">
        <v>759</v>
      </c>
    </row>
    <row r="120" customFormat="false" ht="15" hidden="false" customHeight="false" outlineLevel="0" collapsed="false">
      <c r="A120" s="7" t="s">
        <v>757</v>
      </c>
      <c r="B120" s="7" t="s">
        <v>874</v>
      </c>
      <c r="C120" s="7" t="s">
        <v>366</v>
      </c>
      <c r="D120" s="7" t="s">
        <v>246</v>
      </c>
      <c r="E120" s="7" t="n">
        <v>4</v>
      </c>
      <c r="F120" s="7" t="s">
        <v>759</v>
      </c>
    </row>
    <row r="121" customFormat="false" ht="15" hidden="false" customHeight="false" outlineLevel="0" collapsed="false">
      <c r="A121" s="7" t="s">
        <v>757</v>
      </c>
      <c r="B121" s="7" t="s">
        <v>875</v>
      </c>
      <c r="C121" s="7" t="s">
        <v>366</v>
      </c>
      <c r="D121" s="7" t="s">
        <v>246</v>
      </c>
      <c r="E121" s="7" t="n">
        <v>8</v>
      </c>
      <c r="F121" s="7" t="s">
        <v>759</v>
      </c>
    </row>
    <row r="122" customFormat="false" ht="15" hidden="false" customHeight="false" outlineLevel="0" collapsed="false">
      <c r="A122" s="7" t="s">
        <v>757</v>
      </c>
      <c r="B122" s="7" t="s">
        <v>876</v>
      </c>
      <c r="C122" s="7" t="s">
        <v>366</v>
      </c>
      <c r="D122" s="7" t="s">
        <v>246</v>
      </c>
      <c r="E122" s="7" t="n">
        <v>4</v>
      </c>
      <c r="F122" s="7" t="s">
        <v>759</v>
      </c>
    </row>
    <row r="123" customFormat="false" ht="15" hidden="false" customHeight="false" outlineLevel="0" collapsed="false">
      <c r="A123" s="7" t="s">
        <v>757</v>
      </c>
      <c r="B123" s="7" t="s">
        <v>877</v>
      </c>
      <c r="C123" s="7" t="s">
        <v>368</v>
      </c>
      <c r="D123" s="7" t="s">
        <v>251</v>
      </c>
      <c r="E123" s="7" t="n">
        <v>4</v>
      </c>
      <c r="F123" s="7" t="s">
        <v>759</v>
      </c>
    </row>
    <row r="124" customFormat="false" ht="15" hidden="false" customHeight="false" outlineLevel="0" collapsed="false">
      <c r="A124" s="7" t="s">
        <v>757</v>
      </c>
      <c r="B124" s="7" t="s">
        <v>878</v>
      </c>
      <c r="C124" s="7" t="s">
        <v>368</v>
      </c>
      <c r="D124" s="7" t="s">
        <v>251</v>
      </c>
      <c r="E124" s="7" t="n">
        <v>8</v>
      </c>
      <c r="F124" s="7" t="s">
        <v>759</v>
      </c>
    </row>
    <row r="125" customFormat="false" ht="15" hidden="false" customHeight="false" outlineLevel="0" collapsed="false">
      <c r="A125" s="7" t="s">
        <v>757</v>
      </c>
      <c r="B125" s="7" t="s">
        <v>879</v>
      </c>
      <c r="C125" s="7" t="s">
        <v>368</v>
      </c>
      <c r="D125" s="7" t="s">
        <v>251</v>
      </c>
      <c r="E125" s="7" t="n">
        <v>4</v>
      </c>
      <c r="F125" s="7" t="s">
        <v>759</v>
      </c>
    </row>
    <row r="126" customFormat="false" ht="15" hidden="false" customHeight="false" outlineLevel="0" collapsed="false">
      <c r="A126" s="7" t="s">
        <v>757</v>
      </c>
      <c r="B126" s="7" t="s">
        <v>880</v>
      </c>
      <c r="C126" s="7" t="s">
        <v>370</v>
      </c>
      <c r="D126" s="7" t="s">
        <v>254</v>
      </c>
      <c r="E126" s="7" t="n">
        <v>10</v>
      </c>
      <c r="F126" s="7" t="s">
        <v>759</v>
      </c>
    </row>
    <row r="127" customFormat="false" ht="15" hidden="false" customHeight="false" outlineLevel="0" collapsed="false">
      <c r="A127" s="7" t="s">
        <v>757</v>
      </c>
      <c r="B127" s="7" t="s">
        <v>881</v>
      </c>
      <c r="C127" s="7" t="s">
        <v>370</v>
      </c>
      <c r="D127" s="7" t="s">
        <v>254</v>
      </c>
      <c r="E127" s="7" t="n">
        <v>4</v>
      </c>
      <c r="F127" s="7" t="s">
        <v>759</v>
      </c>
    </row>
    <row r="128" customFormat="false" ht="15" hidden="false" customHeight="false" outlineLevel="0" collapsed="false">
      <c r="A128" s="7" t="s">
        <v>757</v>
      </c>
      <c r="B128" s="7" t="s">
        <v>882</v>
      </c>
      <c r="C128" s="7" t="s">
        <v>370</v>
      </c>
      <c r="D128" s="7" t="s">
        <v>254</v>
      </c>
      <c r="E128" s="7" t="n">
        <v>3</v>
      </c>
      <c r="F128" s="7" t="s">
        <v>759</v>
      </c>
    </row>
    <row r="129" customFormat="false" ht="15" hidden="false" customHeight="false" outlineLevel="0" collapsed="false">
      <c r="A129" s="7" t="s">
        <v>757</v>
      </c>
      <c r="B129" s="7" t="s">
        <v>883</v>
      </c>
      <c r="C129" s="7" t="s">
        <v>372</v>
      </c>
      <c r="D129" s="7" t="s">
        <v>258</v>
      </c>
      <c r="E129" s="7" t="n">
        <v>16</v>
      </c>
      <c r="F129" s="7" t="s">
        <v>759</v>
      </c>
    </row>
    <row r="130" customFormat="false" ht="23.85" hidden="false" customHeight="false" outlineLevel="0" collapsed="false">
      <c r="A130" s="7" t="s">
        <v>757</v>
      </c>
      <c r="B130" s="7" t="s">
        <v>884</v>
      </c>
      <c r="C130" s="7" t="s">
        <v>372</v>
      </c>
      <c r="D130" s="7" t="s">
        <v>258</v>
      </c>
      <c r="E130" s="7" t="n">
        <v>4</v>
      </c>
      <c r="F130" s="7" t="s">
        <v>759</v>
      </c>
    </row>
    <row r="131" customFormat="false" ht="15" hidden="false" customHeight="false" outlineLevel="0" collapsed="false">
      <c r="A131" s="7" t="s">
        <v>757</v>
      </c>
      <c r="B131" s="7" t="s">
        <v>885</v>
      </c>
      <c r="C131" s="7" t="s">
        <v>372</v>
      </c>
      <c r="D131" s="7" t="s">
        <v>258</v>
      </c>
      <c r="E131" s="7" t="n">
        <v>3</v>
      </c>
      <c r="F131" s="7" t="s">
        <v>759</v>
      </c>
    </row>
    <row r="132" customFormat="false" ht="15" hidden="false" customHeight="false" outlineLevel="0" collapsed="false">
      <c r="A132" s="7" t="s">
        <v>757</v>
      </c>
      <c r="B132" s="7" t="s">
        <v>886</v>
      </c>
      <c r="C132" s="7" t="s">
        <v>374</v>
      </c>
      <c r="D132" s="7" t="s">
        <v>254</v>
      </c>
      <c r="E132" s="7" t="n">
        <v>10</v>
      </c>
      <c r="F132" s="7" t="s">
        <v>759</v>
      </c>
    </row>
    <row r="133" customFormat="false" ht="15" hidden="false" customHeight="false" outlineLevel="0" collapsed="false">
      <c r="A133" s="7" t="s">
        <v>757</v>
      </c>
      <c r="B133" s="7" t="s">
        <v>887</v>
      </c>
      <c r="C133" s="7" t="s">
        <v>374</v>
      </c>
      <c r="D133" s="7" t="s">
        <v>254</v>
      </c>
      <c r="E133" s="7" t="n">
        <v>4</v>
      </c>
      <c r="F133" s="7" t="s">
        <v>759</v>
      </c>
    </row>
    <row r="134" customFormat="false" ht="15" hidden="false" customHeight="false" outlineLevel="0" collapsed="false">
      <c r="A134" s="7" t="s">
        <v>757</v>
      </c>
      <c r="B134" s="7" t="s">
        <v>888</v>
      </c>
      <c r="C134" s="7" t="s">
        <v>374</v>
      </c>
      <c r="D134" s="7" t="s">
        <v>254</v>
      </c>
      <c r="E134" s="7" t="n">
        <v>3</v>
      </c>
      <c r="F134" s="7" t="s">
        <v>759</v>
      </c>
    </row>
    <row r="135" customFormat="false" ht="15" hidden="false" customHeight="false" outlineLevel="0" collapsed="false">
      <c r="A135" s="7" t="s">
        <v>757</v>
      </c>
      <c r="B135" s="7" t="s">
        <v>889</v>
      </c>
      <c r="C135" s="7" t="s">
        <v>376</v>
      </c>
      <c r="D135" s="7" t="s">
        <v>258</v>
      </c>
      <c r="E135" s="7" t="n">
        <v>8</v>
      </c>
      <c r="F135" s="7" t="s">
        <v>759</v>
      </c>
    </row>
    <row r="136" customFormat="false" ht="15" hidden="false" customHeight="false" outlineLevel="0" collapsed="false">
      <c r="A136" s="7" t="s">
        <v>757</v>
      </c>
      <c r="B136" s="7" t="s">
        <v>890</v>
      </c>
      <c r="C136" s="7" t="s">
        <v>376</v>
      </c>
      <c r="D136" s="7" t="s">
        <v>258</v>
      </c>
      <c r="E136" s="7" t="n">
        <v>4</v>
      </c>
      <c r="F136" s="7" t="s">
        <v>759</v>
      </c>
    </row>
    <row r="137" customFormat="false" ht="15" hidden="false" customHeight="false" outlineLevel="0" collapsed="false">
      <c r="A137" s="7" t="s">
        <v>757</v>
      </c>
      <c r="B137" s="7" t="s">
        <v>891</v>
      </c>
      <c r="C137" s="7" t="s">
        <v>376</v>
      </c>
      <c r="D137" s="7" t="s">
        <v>258</v>
      </c>
      <c r="E137" s="7" t="n">
        <v>3</v>
      </c>
      <c r="F137" s="7" t="s">
        <v>759</v>
      </c>
    </row>
    <row r="138" customFormat="false" ht="23.85" hidden="false" customHeight="false" outlineLevel="0" collapsed="false">
      <c r="A138" s="7" t="s">
        <v>757</v>
      </c>
      <c r="B138" s="7" t="s">
        <v>892</v>
      </c>
      <c r="C138" s="7" t="s">
        <v>378</v>
      </c>
      <c r="D138" s="7" t="s">
        <v>254</v>
      </c>
      <c r="E138" s="7" t="n">
        <v>8</v>
      </c>
      <c r="F138" s="7" t="s">
        <v>759</v>
      </c>
    </row>
    <row r="139" customFormat="false" ht="23.85" hidden="false" customHeight="false" outlineLevel="0" collapsed="false">
      <c r="A139" s="7" t="s">
        <v>757</v>
      </c>
      <c r="B139" s="7" t="s">
        <v>893</v>
      </c>
      <c r="C139" s="7" t="s">
        <v>378</v>
      </c>
      <c r="D139" s="7" t="s">
        <v>254</v>
      </c>
      <c r="E139" s="7" t="n">
        <v>4</v>
      </c>
      <c r="F139" s="7" t="s">
        <v>759</v>
      </c>
    </row>
    <row r="140" customFormat="false" ht="15" hidden="false" customHeight="false" outlineLevel="0" collapsed="false">
      <c r="A140" s="7" t="s">
        <v>757</v>
      </c>
      <c r="B140" s="7" t="s">
        <v>894</v>
      </c>
      <c r="C140" s="7" t="s">
        <v>378</v>
      </c>
      <c r="D140" s="7" t="s">
        <v>254</v>
      </c>
      <c r="E140" s="7" t="n">
        <v>3</v>
      </c>
      <c r="F140" s="7" t="s">
        <v>759</v>
      </c>
    </row>
    <row r="141" customFormat="false" ht="15" hidden="false" customHeight="false" outlineLevel="0" collapsed="false">
      <c r="A141" s="7" t="s">
        <v>757</v>
      </c>
      <c r="B141" s="7" t="s">
        <v>895</v>
      </c>
      <c r="C141" s="7" t="s">
        <v>380</v>
      </c>
      <c r="D141" s="7" t="s">
        <v>231</v>
      </c>
      <c r="E141" s="7" t="n">
        <v>4</v>
      </c>
      <c r="F141" s="7" t="s">
        <v>759</v>
      </c>
    </row>
    <row r="142" customFormat="false" ht="15" hidden="false" customHeight="false" outlineLevel="0" collapsed="false">
      <c r="A142" s="7" t="s">
        <v>757</v>
      </c>
      <c r="B142" s="7" t="s">
        <v>896</v>
      </c>
      <c r="C142" s="7" t="s">
        <v>380</v>
      </c>
      <c r="D142" s="7" t="s">
        <v>231</v>
      </c>
      <c r="E142" s="7" t="n">
        <v>10</v>
      </c>
      <c r="F142" s="7" t="s">
        <v>759</v>
      </c>
    </row>
    <row r="143" customFormat="false" ht="15" hidden="false" customHeight="false" outlineLevel="0" collapsed="false">
      <c r="A143" s="7" t="s">
        <v>757</v>
      </c>
      <c r="B143" s="7" t="s">
        <v>897</v>
      </c>
      <c r="C143" s="7" t="s">
        <v>383</v>
      </c>
      <c r="D143" s="7" t="s">
        <v>251</v>
      </c>
      <c r="E143" s="7" t="n">
        <v>4</v>
      </c>
      <c r="F143" s="7" t="s">
        <v>759</v>
      </c>
    </row>
    <row r="144" customFormat="false" ht="15" hidden="false" customHeight="false" outlineLevel="0" collapsed="false">
      <c r="A144" s="7" t="s">
        <v>757</v>
      </c>
      <c r="B144" s="7" t="s">
        <v>898</v>
      </c>
      <c r="C144" s="7" t="s">
        <v>383</v>
      </c>
      <c r="D144" s="7" t="s">
        <v>251</v>
      </c>
      <c r="E144" s="7" t="n">
        <v>8</v>
      </c>
      <c r="F144" s="7" t="s">
        <v>759</v>
      </c>
    </row>
    <row r="145" customFormat="false" ht="15" hidden="false" customHeight="false" outlineLevel="0" collapsed="false">
      <c r="A145" s="7" t="s">
        <v>757</v>
      </c>
      <c r="B145" s="7" t="s">
        <v>899</v>
      </c>
      <c r="C145" s="7" t="s">
        <v>383</v>
      </c>
      <c r="D145" s="7" t="s">
        <v>251</v>
      </c>
      <c r="E145" s="7" t="n">
        <v>4</v>
      </c>
      <c r="F145" s="7" t="s">
        <v>759</v>
      </c>
    </row>
    <row r="146" customFormat="false" ht="15" hidden="false" customHeight="false" outlineLevel="0" collapsed="false">
      <c r="A146" s="7" t="s">
        <v>757</v>
      </c>
      <c r="B146" s="7" t="s">
        <v>900</v>
      </c>
      <c r="C146" s="7" t="s">
        <v>385</v>
      </c>
      <c r="D146" s="7" t="s">
        <v>246</v>
      </c>
      <c r="E146" s="7" t="n">
        <v>4</v>
      </c>
      <c r="F146" s="7" t="s">
        <v>759</v>
      </c>
    </row>
    <row r="147" customFormat="false" ht="15" hidden="false" customHeight="false" outlineLevel="0" collapsed="false">
      <c r="A147" s="7" t="s">
        <v>757</v>
      </c>
      <c r="B147" s="7" t="s">
        <v>901</v>
      </c>
      <c r="C147" s="7" t="s">
        <v>385</v>
      </c>
      <c r="D147" s="7" t="s">
        <v>246</v>
      </c>
      <c r="E147" s="7" t="n">
        <v>10</v>
      </c>
      <c r="F147" s="7" t="s">
        <v>759</v>
      </c>
    </row>
    <row r="148" customFormat="false" ht="15" hidden="false" customHeight="false" outlineLevel="0" collapsed="false">
      <c r="A148" s="7" t="s">
        <v>757</v>
      </c>
      <c r="B148" s="7" t="s">
        <v>902</v>
      </c>
      <c r="C148" s="7" t="s">
        <v>385</v>
      </c>
      <c r="D148" s="7" t="s">
        <v>246</v>
      </c>
      <c r="E148" s="7" t="n">
        <v>4</v>
      </c>
      <c r="F148" s="7" t="s">
        <v>759</v>
      </c>
    </row>
    <row r="149" customFormat="false" ht="15" hidden="false" customHeight="false" outlineLevel="0" collapsed="false">
      <c r="A149" s="7" t="s">
        <v>757</v>
      </c>
      <c r="B149" s="7" t="s">
        <v>903</v>
      </c>
      <c r="C149" s="7" t="s">
        <v>388</v>
      </c>
      <c r="D149" s="7" t="s">
        <v>246</v>
      </c>
      <c r="E149" s="7" t="n">
        <v>4</v>
      </c>
      <c r="F149" s="7" t="s">
        <v>759</v>
      </c>
    </row>
    <row r="150" customFormat="false" ht="15" hidden="false" customHeight="false" outlineLevel="0" collapsed="false">
      <c r="A150" s="7" t="s">
        <v>757</v>
      </c>
      <c r="B150" s="7" t="s">
        <v>904</v>
      </c>
      <c r="C150" s="7" t="s">
        <v>388</v>
      </c>
      <c r="D150" s="7" t="s">
        <v>246</v>
      </c>
      <c r="E150" s="7" t="n">
        <v>10</v>
      </c>
      <c r="F150" s="7" t="s">
        <v>759</v>
      </c>
    </row>
    <row r="151" customFormat="false" ht="15" hidden="false" customHeight="false" outlineLevel="0" collapsed="false">
      <c r="A151" s="7" t="s">
        <v>757</v>
      </c>
      <c r="B151" s="7" t="s">
        <v>905</v>
      </c>
      <c r="C151" s="7" t="s">
        <v>388</v>
      </c>
      <c r="D151" s="7" t="s">
        <v>246</v>
      </c>
      <c r="E151" s="7" t="n">
        <v>4</v>
      </c>
      <c r="F151" s="7" t="s">
        <v>759</v>
      </c>
    </row>
    <row r="152" customFormat="false" ht="15" hidden="false" customHeight="false" outlineLevel="0" collapsed="false">
      <c r="A152" s="7" t="s">
        <v>757</v>
      </c>
      <c r="B152" s="7" t="s">
        <v>906</v>
      </c>
      <c r="C152" s="7" t="s">
        <v>390</v>
      </c>
      <c r="D152" s="7" t="s">
        <v>246</v>
      </c>
      <c r="E152" s="7" t="n">
        <v>4</v>
      </c>
      <c r="F152" s="7" t="s">
        <v>759</v>
      </c>
    </row>
    <row r="153" customFormat="false" ht="15" hidden="false" customHeight="false" outlineLevel="0" collapsed="false">
      <c r="A153" s="7" t="s">
        <v>757</v>
      </c>
      <c r="B153" s="7" t="s">
        <v>907</v>
      </c>
      <c r="C153" s="7" t="s">
        <v>390</v>
      </c>
      <c r="D153" s="7" t="s">
        <v>246</v>
      </c>
      <c r="E153" s="7" t="n">
        <v>8</v>
      </c>
      <c r="F153" s="7" t="s">
        <v>759</v>
      </c>
    </row>
    <row r="154" customFormat="false" ht="15" hidden="false" customHeight="false" outlineLevel="0" collapsed="false">
      <c r="A154" s="7" t="s">
        <v>757</v>
      </c>
      <c r="B154" s="7" t="s">
        <v>908</v>
      </c>
      <c r="C154" s="7" t="s">
        <v>390</v>
      </c>
      <c r="D154" s="7" t="s">
        <v>246</v>
      </c>
      <c r="E154" s="7" t="n">
        <v>4</v>
      </c>
      <c r="F154" s="7" t="s">
        <v>759</v>
      </c>
    </row>
    <row r="155" customFormat="false" ht="15" hidden="false" customHeight="false" outlineLevel="0" collapsed="false">
      <c r="A155" s="7" t="s">
        <v>757</v>
      </c>
      <c r="B155" s="7" t="s">
        <v>909</v>
      </c>
      <c r="C155" s="7" t="s">
        <v>392</v>
      </c>
      <c r="D155" s="7" t="s">
        <v>251</v>
      </c>
      <c r="E155" s="7" t="n">
        <v>4</v>
      </c>
      <c r="F155" s="7" t="s">
        <v>759</v>
      </c>
    </row>
    <row r="156" customFormat="false" ht="15" hidden="false" customHeight="false" outlineLevel="0" collapsed="false">
      <c r="A156" s="7" t="s">
        <v>757</v>
      </c>
      <c r="B156" s="7" t="s">
        <v>910</v>
      </c>
      <c r="C156" s="7" t="s">
        <v>392</v>
      </c>
      <c r="D156" s="7" t="s">
        <v>251</v>
      </c>
      <c r="E156" s="7" t="n">
        <v>10</v>
      </c>
      <c r="F156" s="7" t="s">
        <v>759</v>
      </c>
    </row>
    <row r="157" customFormat="false" ht="15" hidden="false" customHeight="false" outlineLevel="0" collapsed="false">
      <c r="A157" s="7" t="s">
        <v>757</v>
      </c>
      <c r="B157" s="7" t="s">
        <v>911</v>
      </c>
      <c r="C157" s="7" t="s">
        <v>392</v>
      </c>
      <c r="D157" s="7" t="s">
        <v>251</v>
      </c>
      <c r="E157" s="7" t="n">
        <v>4</v>
      </c>
      <c r="F157" s="7" t="s">
        <v>759</v>
      </c>
    </row>
    <row r="158" customFormat="false" ht="15" hidden="false" customHeight="false" outlineLevel="0" collapsed="false">
      <c r="A158" s="7" t="s">
        <v>757</v>
      </c>
      <c r="B158" s="7" t="s">
        <v>912</v>
      </c>
      <c r="C158" s="7" t="s">
        <v>394</v>
      </c>
      <c r="D158" s="7" t="s">
        <v>251</v>
      </c>
      <c r="E158" s="7" t="n">
        <v>4</v>
      </c>
      <c r="F158" s="7" t="s">
        <v>759</v>
      </c>
    </row>
    <row r="159" customFormat="false" ht="15" hidden="false" customHeight="false" outlineLevel="0" collapsed="false">
      <c r="A159" s="7" t="s">
        <v>757</v>
      </c>
      <c r="B159" s="7" t="s">
        <v>913</v>
      </c>
      <c r="C159" s="7" t="s">
        <v>394</v>
      </c>
      <c r="D159" s="7" t="s">
        <v>251</v>
      </c>
      <c r="E159" s="7" t="n">
        <v>8</v>
      </c>
      <c r="F159" s="7" t="s">
        <v>759</v>
      </c>
    </row>
    <row r="160" customFormat="false" ht="15" hidden="false" customHeight="false" outlineLevel="0" collapsed="false">
      <c r="A160" s="7" t="s">
        <v>757</v>
      </c>
      <c r="B160" s="7" t="s">
        <v>914</v>
      </c>
      <c r="C160" s="7" t="s">
        <v>394</v>
      </c>
      <c r="D160" s="7" t="s">
        <v>251</v>
      </c>
      <c r="E160" s="7" t="n">
        <v>4</v>
      </c>
      <c r="F160" s="7" t="s">
        <v>759</v>
      </c>
    </row>
    <row r="161" customFormat="false" ht="15" hidden="false" customHeight="false" outlineLevel="0" collapsed="false">
      <c r="A161" s="7" t="s">
        <v>757</v>
      </c>
      <c r="B161" s="7" t="s">
        <v>915</v>
      </c>
      <c r="C161" s="7" t="s">
        <v>396</v>
      </c>
      <c r="D161" s="7" t="s">
        <v>251</v>
      </c>
      <c r="E161" s="7" t="n">
        <v>4</v>
      </c>
      <c r="F161" s="7" t="s">
        <v>759</v>
      </c>
    </row>
    <row r="162" customFormat="false" ht="15" hidden="false" customHeight="false" outlineLevel="0" collapsed="false">
      <c r="A162" s="7" t="s">
        <v>757</v>
      </c>
      <c r="B162" s="7" t="s">
        <v>916</v>
      </c>
      <c r="C162" s="7" t="s">
        <v>396</v>
      </c>
      <c r="D162" s="7" t="s">
        <v>251</v>
      </c>
      <c r="E162" s="7" t="n">
        <v>8</v>
      </c>
      <c r="F162" s="7" t="s">
        <v>759</v>
      </c>
    </row>
    <row r="163" customFormat="false" ht="15" hidden="false" customHeight="false" outlineLevel="0" collapsed="false">
      <c r="A163" s="7" t="s">
        <v>757</v>
      </c>
      <c r="B163" s="7" t="s">
        <v>917</v>
      </c>
      <c r="C163" s="7" t="s">
        <v>396</v>
      </c>
      <c r="D163" s="7" t="s">
        <v>251</v>
      </c>
      <c r="E163" s="7" t="n">
        <v>4</v>
      </c>
      <c r="F163" s="7" t="s">
        <v>759</v>
      </c>
    </row>
    <row r="164" customFormat="false" ht="15" hidden="false" customHeight="false" outlineLevel="0" collapsed="false">
      <c r="A164" s="7" t="s">
        <v>757</v>
      </c>
      <c r="B164" s="7" t="s">
        <v>918</v>
      </c>
      <c r="C164" s="7" t="s">
        <v>398</v>
      </c>
      <c r="D164" s="7" t="s">
        <v>251</v>
      </c>
      <c r="E164" s="7" t="n">
        <v>4</v>
      </c>
      <c r="F164" s="7" t="s">
        <v>759</v>
      </c>
    </row>
    <row r="165" customFormat="false" ht="15" hidden="false" customHeight="false" outlineLevel="0" collapsed="false">
      <c r="A165" s="7" t="s">
        <v>757</v>
      </c>
      <c r="B165" s="7" t="s">
        <v>919</v>
      </c>
      <c r="C165" s="7" t="s">
        <v>398</v>
      </c>
      <c r="D165" s="7" t="s">
        <v>251</v>
      </c>
      <c r="E165" s="7" t="n">
        <v>10</v>
      </c>
      <c r="F165" s="7" t="s">
        <v>759</v>
      </c>
    </row>
    <row r="166" customFormat="false" ht="15" hidden="false" customHeight="false" outlineLevel="0" collapsed="false">
      <c r="A166" s="7" t="s">
        <v>757</v>
      </c>
      <c r="B166" s="7" t="s">
        <v>920</v>
      </c>
      <c r="C166" s="7" t="s">
        <v>398</v>
      </c>
      <c r="D166" s="7" t="s">
        <v>251</v>
      </c>
      <c r="E166" s="7" t="n">
        <v>4</v>
      </c>
      <c r="F166" s="7" t="s">
        <v>759</v>
      </c>
    </row>
    <row r="167" customFormat="false" ht="15" hidden="false" customHeight="false" outlineLevel="0" collapsed="false">
      <c r="A167" s="7" t="s">
        <v>757</v>
      </c>
      <c r="B167" s="7" t="s">
        <v>921</v>
      </c>
      <c r="C167" s="7" t="s">
        <v>400</v>
      </c>
      <c r="D167" s="7" t="s">
        <v>254</v>
      </c>
      <c r="E167" s="7" t="n">
        <v>16</v>
      </c>
      <c r="F167" s="7" t="s">
        <v>759</v>
      </c>
    </row>
    <row r="168" customFormat="false" ht="23.85" hidden="false" customHeight="false" outlineLevel="0" collapsed="false">
      <c r="A168" s="7" t="s">
        <v>757</v>
      </c>
      <c r="B168" s="7" t="s">
        <v>922</v>
      </c>
      <c r="C168" s="7" t="s">
        <v>400</v>
      </c>
      <c r="D168" s="7" t="s">
        <v>254</v>
      </c>
      <c r="E168" s="7" t="n">
        <v>4</v>
      </c>
      <c r="F168" s="7" t="s">
        <v>759</v>
      </c>
    </row>
    <row r="169" customFormat="false" ht="15" hidden="false" customHeight="false" outlineLevel="0" collapsed="false">
      <c r="A169" s="7" t="s">
        <v>757</v>
      </c>
      <c r="B169" s="7" t="s">
        <v>923</v>
      </c>
      <c r="C169" s="7" t="s">
        <v>400</v>
      </c>
      <c r="D169" s="7" t="s">
        <v>254</v>
      </c>
      <c r="E169" s="7" t="n">
        <v>3</v>
      </c>
      <c r="F169" s="7" t="s">
        <v>759</v>
      </c>
    </row>
    <row r="170" customFormat="false" ht="23.85" hidden="false" customHeight="false" outlineLevel="0" collapsed="false">
      <c r="A170" s="7" t="s">
        <v>757</v>
      </c>
      <c r="B170" s="7" t="s">
        <v>924</v>
      </c>
      <c r="C170" s="7" t="s">
        <v>403</v>
      </c>
      <c r="D170" s="7" t="s">
        <v>254</v>
      </c>
      <c r="E170" s="7" t="n">
        <v>10</v>
      </c>
      <c r="F170" s="7" t="s">
        <v>759</v>
      </c>
    </row>
    <row r="171" customFormat="false" ht="23.85" hidden="false" customHeight="false" outlineLevel="0" collapsed="false">
      <c r="A171" s="7" t="s">
        <v>757</v>
      </c>
      <c r="B171" s="7" t="s">
        <v>925</v>
      </c>
      <c r="C171" s="7" t="s">
        <v>403</v>
      </c>
      <c r="D171" s="7" t="s">
        <v>254</v>
      </c>
      <c r="E171" s="7" t="n">
        <v>4</v>
      </c>
      <c r="F171" s="7" t="s">
        <v>759</v>
      </c>
    </row>
    <row r="172" customFormat="false" ht="23.85" hidden="false" customHeight="false" outlineLevel="0" collapsed="false">
      <c r="A172" s="7" t="s">
        <v>757</v>
      </c>
      <c r="B172" s="7" t="s">
        <v>926</v>
      </c>
      <c r="C172" s="7" t="s">
        <v>403</v>
      </c>
      <c r="D172" s="7" t="s">
        <v>254</v>
      </c>
      <c r="E172" s="7" t="n">
        <v>3</v>
      </c>
      <c r="F172" s="7" t="s">
        <v>759</v>
      </c>
    </row>
    <row r="173" customFormat="false" ht="15" hidden="false" customHeight="false" outlineLevel="0" collapsed="false">
      <c r="A173" s="7" t="s">
        <v>757</v>
      </c>
      <c r="B173" s="7" t="s">
        <v>927</v>
      </c>
      <c r="C173" s="7" t="s">
        <v>405</v>
      </c>
      <c r="D173" s="7" t="s">
        <v>258</v>
      </c>
      <c r="E173" s="7" t="n">
        <v>16</v>
      </c>
      <c r="F173" s="7" t="s">
        <v>759</v>
      </c>
    </row>
    <row r="174" customFormat="false" ht="15" hidden="false" customHeight="false" outlineLevel="0" collapsed="false">
      <c r="A174" s="7" t="s">
        <v>757</v>
      </c>
      <c r="B174" s="7" t="s">
        <v>928</v>
      </c>
      <c r="C174" s="7" t="s">
        <v>405</v>
      </c>
      <c r="D174" s="7" t="s">
        <v>258</v>
      </c>
      <c r="E174" s="7" t="n">
        <v>4</v>
      </c>
      <c r="F174" s="7" t="s">
        <v>759</v>
      </c>
    </row>
    <row r="175" customFormat="false" ht="15" hidden="false" customHeight="false" outlineLevel="0" collapsed="false">
      <c r="A175" s="7" t="s">
        <v>757</v>
      </c>
      <c r="B175" s="7" t="s">
        <v>929</v>
      </c>
      <c r="C175" s="7" t="s">
        <v>405</v>
      </c>
      <c r="D175" s="7" t="s">
        <v>258</v>
      </c>
      <c r="E175" s="7" t="n">
        <v>3</v>
      </c>
      <c r="F175" s="7" t="s">
        <v>759</v>
      </c>
    </row>
    <row r="176" customFormat="false" ht="23.85" hidden="false" customHeight="false" outlineLevel="0" collapsed="false">
      <c r="A176" s="7" t="s">
        <v>757</v>
      </c>
      <c r="B176" s="7" t="s">
        <v>930</v>
      </c>
      <c r="C176" s="7" t="s">
        <v>407</v>
      </c>
      <c r="D176" s="7" t="s">
        <v>258</v>
      </c>
      <c r="E176" s="7" t="n">
        <v>10</v>
      </c>
      <c r="F176" s="7" t="s">
        <v>759</v>
      </c>
    </row>
    <row r="177" customFormat="false" ht="23.85" hidden="false" customHeight="false" outlineLevel="0" collapsed="false">
      <c r="A177" s="7" t="s">
        <v>757</v>
      </c>
      <c r="B177" s="7" t="s">
        <v>931</v>
      </c>
      <c r="C177" s="7" t="s">
        <v>407</v>
      </c>
      <c r="D177" s="7" t="s">
        <v>258</v>
      </c>
      <c r="E177" s="7" t="n">
        <v>4</v>
      </c>
      <c r="F177" s="7" t="s">
        <v>759</v>
      </c>
    </row>
    <row r="178" customFormat="false" ht="15" hidden="false" customHeight="false" outlineLevel="0" collapsed="false">
      <c r="A178" s="7" t="s">
        <v>757</v>
      </c>
      <c r="B178" s="7" t="s">
        <v>932</v>
      </c>
      <c r="C178" s="7" t="s">
        <v>407</v>
      </c>
      <c r="D178" s="7" t="s">
        <v>258</v>
      </c>
      <c r="E178" s="7" t="n">
        <v>3</v>
      </c>
      <c r="F178" s="7" t="s">
        <v>759</v>
      </c>
    </row>
    <row r="179" customFormat="false" ht="15" hidden="false" customHeight="false" outlineLevel="0" collapsed="false">
      <c r="A179" s="7" t="s">
        <v>757</v>
      </c>
      <c r="B179" s="7" t="s">
        <v>933</v>
      </c>
      <c r="C179" s="7" t="s">
        <v>409</v>
      </c>
      <c r="D179" s="7" t="s">
        <v>258</v>
      </c>
      <c r="E179" s="7" t="n">
        <v>8</v>
      </c>
      <c r="F179" s="7" t="s">
        <v>759</v>
      </c>
    </row>
    <row r="180" customFormat="false" ht="15" hidden="false" customHeight="false" outlineLevel="0" collapsed="false">
      <c r="A180" s="7" t="s">
        <v>757</v>
      </c>
      <c r="B180" s="7" t="s">
        <v>934</v>
      </c>
      <c r="C180" s="7" t="s">
        <v>409</v>
      </c>
      <c r="D180" s="7" t="s">
        <v>258</v>
      </c>
      <c r="E180" s="7" t="n">
        <v>4</v>
      </c>
      <c r="F180" s="7" t="s">
        <v>759</v>
      </c>
    </row>
    <row r="181" customFormat="false" ht="15" hidden="false" customHeight="false" outlineLevel="0" collapsed="false">
      <c r="A181" s="7" t="s">
        <v>757</v>
      </c>
      <c r="B181" s="7" t="s">
        <v>935</v>
      </c>
      <c r="C181" s="7" t="s">
        <v>409</v>
      </c>
      <c r="D181" s="7" t="s">
        <v>258</v>
      </c>
      <c r="E181" s="7" t="n">
        <v>3</v>
      </c>
      <c r="F181" s="7" t="s">
        <v>759</v>
      </c>
    </row>
    <row r="182" customFormat="false" ht="15" hidden="false" customHeight="false" outlineLevel="0" collapsed="false">
      <c r="A182" s="7" t="s">
        <v>757</v>
      </c>
      <c r="B182" s="7" t="s">
        <v>936</v>
      </c>
      <c r="C182" s="7" t="s">
        <v>411</v>
      </c>
      <c r="D182" s="7" t="s">
        <v>231</v>
      </c>
      <c r="E182" s="7" t="n">
        <v>4</v>
      </c>
      <c r="F182" s="7" t="s">
        <v>759</v>
      </c>
    </row>
    <row r="183" customFormat="false" ht="15" hidden="false" customHeight="false" outlineLevel="0" collapsed="false">
      <c r="A183" s="7" t="s">
        <v>757</v>
      </c>
      <c r="B183" s="7" t="s">
        <v>937</v>
      </c>
      <c r="C183" s="7" t="s">
        <v>411</v>
      </c>
      <c r="D183" s="7" t="s">
        <v>231</v>
      </c>
      <c r="E183" s="7" t="n">
        <v>10</v>
      </c>
      <c r="F183" s="7" t="s">
        <v>759</v>
      </c>
    </row>
    <row r="184" customFormat="false" ht="15" hidden="false" customHeight="false" outlineLevel="0" collapsed="false">
      <c r="A184" s="7" t="s">
        <v>757</v>
      </c>
      <c r="B184" s="7" t="s">
        <v>938</v>
      </c>
      <c r="C184" s="7" t="s">
        <v>413</v>
      </c>
      <c r="D184" s="7" t="s">
        <v>231</v>
      </c>
      <c r="E184" s="7" t="n">
        <v>4</v>
      </c>
      <c r="F184" s="7" t="s">
        <v>759</v>
      </c>
    </row>
    <row r="185" customFormat="false" ht="15" hidden="false" customHeight="false" outlineLevel="0" collapsed="false">
      <c r="A185" s="7" t="s">
        <v>757</v>
      </c>
      <c r="B185" s="7" t="s">
        <v>939</v>
      </c>
      <c r="C185" s="7" t="s">
        <v>413</v>
      </c>
      <c r="D185" s="7" t="s">
        <v>231</v>
      </c>
      <c r="E185" s="7" t="n">
        <v>6</v>
      </c>
      <c r="F185" s="7" t="s">
        <v>759</v>
      </c>
    </row>
    <row r="186" customFormat="false" ht="15" hidden="false" customHeight="false" outlineLevel="0" collapsed="false">
      <c r="A186" s="7" t="s">
        <v>757</v>
      </c>
      <c r="B186" s="7" t="s">
        <v>940</v>
      </c>
      <c r="C186" s="7" t="s">
        <v>415</v>
      </c>
      <c r="D186" s="7" t="s">
        <v>246</v>
      </c>
      <c r="E186" s="7" t="n">
        <v>4</v>
      </c>
      <c r="F186" s="7" t="s">
        <v>759</v>
      </c>
    </row>
    <row r="187" customFormat="false" ht="15" hidden="false" customHeight="false" outlineLevel="0" collapsed="false">
      <c r="A187" s="7" t="s">
        <v>757</v>
      </c>
      <c r="B187" s="7" t="s">
        <v>941</v>
      </c>
      <c r="C187" s="7" t="s">
        <v>415</v>
      </c>
      <c r="D187" s="7" t="s">
        <v>246</v>
      </c>
      <c r="E187" s="7" t="n">
        <v>10</v>
      </c>
      <c r="F187" s="7" t="s">
        <v>759</v>
      </c>
    </row>
    <row r="188" customFormat="false" ht="15" hidden="false" customHeight="false" outlineLevel="0" collapsed="false">
      <c r="A188" s="7" t="s">
        <v>757</v>
      </c>
      <c r="B188" s="7" t="s">
        <v>942</v>
      </c>
      <c r="C188" s="7" t="s">
        <v>415</v>
      </c>
      <c r="D188" s="7" t="s">
        <v>246</v>
      </c>
      <c r="E188" s="7" t="n">
        <v>4</v>
      </c>
      <c r="F188" s="7" t="s">
        <v>759</v>
      </c>
    </row>
    <row r="189" customFormat="false" ht="15" hidden="false" customHeight="false" outlineLevel="0" collapsed="false">
      <c r="A189" s="7" t="s">
        <v>757</v>
      </c>
      <c r="B189" s="7" t="s">
        <v>943</v>
      </c>
      <c r="C189" s="7" t="s">
        <v>418</v>
      </c>
      <c r="D189" s="7" t="s">
        <v>246</v>
      </c>
      <c r="E189" s="7" t="n">
        <v>4</v>
      </c>
      <c r="F189" s="7" t="s">
        <v>759</v>
      </c>
    </row>
    <row r="190" customFormat="false" ht="15" hidden="false" customHeight="false" outlineLevel="0" collapsed="false">
      <c r="A190" s="7" t="s">
        <v>757</v>
      </c>
      <c r="B190" s="7" t="s">
        <v>944</v>
      </c>
      <c r="C190" s="7" t="s">
        <v>418</v>
      </c>
      <c r="D190" s="7" t="s">
        <v>246</v>
      </c>
      <c r="E190" s="7" t="n">
        <v>10</v>
      </c>
      <c r="F190" s="7" t="s">
        <v>759</v>
      </c>
    </row>
    <row r="191" customFormat="false" ht="15" hidden="false" customHeight="false" outlineLevel="0" collapsed="false">
      <c r="A191" s="7" t="s">
        <v>757</v>
      </c>
      <c r="B191" s="7" t="s">
        <v>945</v>
      </c>
      <c r="C191" s="7" t="s">
        <v>418</v>
      </c>
      <c r="D191" s="7" t="s">
        <v>246</v>
      </c>
      <c r="E191" s="7" t="n">
        <v>4</v>
      </c>
      <c r="F191" s="7" t="s">
        <v>759</v>
      </c>
    </row>
    <row r="192" customFormat="false" ht="15" hidden="false" customHeight="false" outlineLevel="0" collapsed="false">
      <c r="A192" s="7" t="s">
        <v>757</v>
      </c>
      <c r="B192" s="7" t="s">
        <v>946</v>
      </c>
      <c r="C192" s="7" t="s">
        <v>420</v>
      </c>
      <c r="D192" s="7" t="s">
        <v>246</v>
      </c>
      <c r="E192" s="7" t="n">
        <v>4</v>
      </c>
      <c r="F192" s="7" t="s">
        <v>759</v>
      </c>
    </row>
    <row r="193" customFormat="false" ht="15" hidden="false" customHeight="false" outlineLevel="0" collapsed="false">
      <c r="A193" s="7" t="s">
        <v>757</v>
      </c>
      <c r="B193" s="7" t="s">
        <v>947</v>
      </c>
      <c r="C193" s="7" t="s">
        <v>420</v>
      </c>
      <c r="D193" s="7" t="s">
        <v>246</v>
      </c>
      <c r="E193" s="7" t="n">
        <v>10</v>
      </c>
      <c r="F193" s="7" t="s">
        <v>759</v>
      </c>
    </row>
    <row r="194" customFormat="false" ht="15" hidden="false" customHeight="false" outlineLevel="0" collapsed="false">
      <c r="A194" s="7" t="s">
        <v>757</v>
      </c>
      <c r="B194" s="7" t="s">
        <v>948</v>
      </c>
      <c r="C194" s="7" t="s">
        <v>420</v>
      </c>
      <c r="D194" s="7" t="s">
        <v>246</v>
      </c>
      <c r="E194" s="7" t="n">
        <v>4</v>
      </c>
      <c r="F194" s="7" t="s">
        <v>759</v>
      </c>
    </row>
    <row r="195" customFormat="false" ht="15" hidden="false" customHeight="false" outlineLevel="0" collapsed="false">
      <c r="A195" s="7" t="s">
        <v>757</v>
      </c>
      <c r="B195" s="7" t="s">
        <v>949</v>
      </c>
      <c r="C195" s="7" t="s">
        <v>422</v>
      </c>
      <c r="D195" s="7" t="s">
        <v>251</v>
      </c>
      <c r="E195" s="7" t="n">
        <v>4</v>
      </c>
      <c r="F195" s="7" t="s">
        <v>759</v>
      </c>
    </row>
    <row r="196" customFormat="false" ht="15" hidden="false" customHeight="false" outlineLevel="0" collapsed="false">
      <c r="A196" s="7" t="s">
        <v>757</v>
      </c>
      <c r="B196" s="7" t="s">
        <v>950</v>
      </c>
      <c r="C196" s="7" t="s">
        <v>422</v>
      </c>
      <c r="D196" s="7" t="s">
        <v>251</v>
      </c>
      <c r="E196" s="7" t="n">
        <v>10</v>
      </c>
      <c r="F196" s="7" t="s">
        <v>759</v>
      </c>
    </row>
    <row r="197" customFormat="false" ht="15" hidden="false" customHeight="false" outlineLevel="0" collapsed="false">
      <c r="A197" s="7" t="s">
        <v>757</v>
      </c>
      <c r="B197" s="7" t="s">
        <v>951</v>
      </c>
      <c r="C197" s="7" t="s">
        <v>422</v>
      </c>
      <c r="D197" s="7" t="s">
        <v>251</v>
      </c>
      <c r="E197" s="7" t="n">
        <v>4</v>
      </c>
      <c r="F197" s="7" t="s">
        <v>759</v>
      </c>
    </row>
    <row r="198" customFormat="false" ht="15" hidden="false" customHeight="false" outlineLevel="0" collapsed="false">
      <c r="A198" s="7" t="s">
        <v>757</v>
      </c>
      <c r="B198" s="7" t="s">
        <v>952</v>
      </c>
      <c r="C198" s="7" t="s">
        <v>424</v>
      </c>
      <c r="D198" s="7" t="s">
        <v>251</v>
      </c>
      <c r="E198" s="7" t="n">
        <v>4</v>
      </c>
      <c r="F198" s="7" t="s">
        <v>759</v>
      </c>
    </row>
    <row r="199" customFormat="false" ht="15" hidden="false" customHeight="false" outlineLevel="0" collapsed="false">
      <c r="A199" s="7" t="s">
        <v>757</v>
      </c>
      <c r="B199" s="7" t="s">
        <v>953</v>
      </c>
      <c r="C199" s="7" t="s">
        <v>424</v>
      </c>
      <c r="D199" s="7" t="s">
        <v>251</v>
      </c>
      <c r="E199" s="7" t="n">
        <v>10</v>
      </c>
      <c r="F199" s="7" t="s">
        <v>759</v>
      </c>
    </row>
    <row r="200" customFormat="false" ht="15" hidden="false" customHeight="false" outlineLevel="0" collapsed="false">
      <c r="A200" s="7" t="s">
        <v>757</v>
      </c>
      <c r="B200" s="7" t="s">
        <v>954</v>
      </c>
      <c r="C200" s="7" t="s">
        <v>424</v>
      </c>
      <c r="D200" s="7" t="s">
        <v>251</v>
      </c>
      <c r="E200" s="7" t="n">
        <v>4</v>
      </c>
      <c r="F200" s="7" t="s">
        <v>759</v>
      </c>
    </row>
    <row r="201" customFormat="false" ht="15" hidden="false" customHeight="false" outlineLevel="0" collapsed="false">
      <c r="A201" s="7" t="s">
        <v>757</v>
      </c>
      <c r="B201" s="7" t="s">
        <v>955</v>
      </c>
      <c r="C201" s="7" t="s">
        <v>426</v>
      </c>
      <c r="D201" s="7" t="s">
        <v>251</v>
      </c>
      <c r="E201" s="7" t="n">
        <v>4</v>
      </c>
      <c r="F201" s="7" t="s">
        <v>759</v>
      </c>
    </row>
    <row r="202" customFormat="false" ht="15" hidden="false" customHeight="false" outlineLevel="0" collapsed="false">
      <c r="A202" s="7" t="s">
        <v>757</v>
      </c>
      <c r="B202" s="7" t="s">
        <v>956</v>
      </c>
      <c r="C202" s="7" t="s">
        <v>426</v>
      </c>
      <c r="D202" s="7" t="s">
        <v>251</v>
      </c>
      <c r="E202" s="7" t="n">
        <v>8</v>
      </c>
      <c r="F202" s="7" t="s">
        <v>759</v>
      </c>
    </row>
    <row r="203" customFormat="false" ht="15" hidden="false" customHeight="false" outlineLevel="0" collapsed="false">
      <c r="A203" s="7" t="s">
        <v>757</v>
      </c>
      <c r="B203" s="7" t="s">
        <v>957</v>
      </c>
      <c r="C203" s="7" t="s">
        <v>426</v>
      </c>
      <c r="D203" s="7" t="s">
        <v>251</v>
      </c>
      <c r="E203" s="7" t="n">
        <v>4</v>
      </c>
      <c r="F203" s="7" t="s">
        <v>759</v>
      </c>
    </row>
    <row r="204" customFormat="false" ht="15" hidden="false" customHeight="false" outlineLevel="0" collapsed="false">
      <c r="A204" s="7" t="s">
        <v>757</v>
      </c>
      <c r="B204" s="7" t="s">
        <v>958</v>
      </c>
      <c r="C204" s="7" t="s">
        <v>428</v>
      </c>
      <c r="D204" s="7" t="s">
        <v>254</v>
      </c>
      <c r="E204" s="7" t="n">
        <v>16</v>
      </c>
      <c r="F204" s="7" t="s">
        <v>759</v>
      </c>
    </row>
    <row r="205" customFormat="false" ht="15" hidden="false" customHeight="false" outlineLevel="0" collapsed="false">
      <c r="A205" s="7" t="s">
        <v>757</v>
      </c>
      <c r="B205" s="7" t="s">
        <v>959</v>
      </c>
      <c r="C205" s="7" t="s">
        <v>428</v>
      </c>
      <c r="D205" s="7" t="s">
        <v>254</v>
      </c>
      <c r="E205" s="7" t="n">
        <v>4</v>
      </c>
      <c r="F205" s="7" t="s">
        <v>759</v>
      </c>
    </row>
    <row r="206" customFormat="false" ht="15" hidden="false" customHeight="false" outlineLevel="0" collapsed="false">
      <c r="A206" s="7" t="s">
        <v>757</v>
      </c>
      <c r="B206" s="7" t="s">
        <v>960</v>
      </c>
      <c r="C206" s="7" t="s">
        <v>428</v>
      </c>
      <c r="D206" s="7" t="s">
        <v>254</v>
      </c>
      <c r="E206" s="7" t="n">
        <v>3</v>
      </c>
      <c r="F206" s="7" t="s">
        <v>759</v>
      </c>
    </row>
    <row r="207" customFormat="false" ht="15" hidden="false" customHeight="false" outlineLevel="0" collapsed="false">
      <c r="A207" s="7" t="s">
        <v>757</v>
      </c>
      <c r="B207" s="7" t="s">
        <v>961</v>
      </c>
      <c r="C207" s="7" t="s">
        <v>430</v>
      </c>
      <c r="D207" s="7" t="s">
        <v>254</v>
      </c>
      <c r="E207" s="7" t="n">
        <v>10</v>
      </c>
      <c r="F207" s="7" t="s">
        <v>759</v>
      </c>
    </row>
    <row r="208" customFormat="false" ht="15" hidden="false" customHeight="false" outlineLevel="0" collapsed="false">
      <c r="A208" s="7" t="s">
        <v>757</v>
      </c>
      <c r="B208" s="7" t="s">
        <v>962</v>
      </c>
      <c r="C208" s="7" t="s">
        <v>430</v>
      </c>
      <c r="D208" s="7" t="s">
        <v>254</v>
      </c>
      <c r="E208" s="7" t="n">
        <v>4</v>
      </c>
      <c r="F208" s="7" t="s">
        <v>759</v>
      </c>
    </row>
    <row r="209" customFormat="false" ht="15" hidden="false" customHeight="false" outlineLevel="0" collapsed="false">
      <c r="A209" s="7" t="s">
        <v>757</v>
      </c>
      <c r="B209" s="7" t="s">
        <v>963</v>
      </c>
      <c r="C209" s="7" t="s">
        <v>430</v>
      </c>
      <c r="D209" s="7" t="s">
        <v>254</v>
      </c>
      <c r="E209" s="7" t="n">
        <v>3</v>
      </c>
      <c r="F209" s="7" t="s">
        <v>759</v>
      </c>
    </row>
    <row r="210" customFormat="false" ht="15" hidden="false" customHeight="false" outlineLevel="0" collapsed="false">
      <c r="A210" s="7" t="s">
        <v>757</v>
      </c>
      <c r="B210" s="7" t="s">
        <v>964</v>
      </c>
      <c r="C210" s="7" t="s">
        <v>432</v>
      </c>
      <c r="D210" s="7" t="s">
        <v>258</v>
      </c>
      <c r="E210" s="7" t="n">
        <v>10</v>
      </c>
      <c r="F210" s="7" t="s">
        <v>759</v>
      </c>
    </row>
    <row r="211" customFormat="false" ht="15" hidden="false" customHeight="false" outlineLevel="0" collapsed="false">
      <c r="A211" s="7" t="s">
        <v>757</v>
      </c>
      <c r="B211" s="7" t="s">
        <v>965</v>
      </c>
      <c r="C211" s="7" t="s">
        <v>432</v>
      </c>
      <c r="D211" s="7" t="s">
        <v>258</v>
      </c>
      <c r="E211" s="7" t="n">
        <v>4</v>
      </c>
      <c r="F211" s="7" t="s">
        <v>759</v>
      </c>
    </row>
    <row r="212" customFormat="false" ht="15" hidden="false" customHeight="false" outlineLevel="0" collapsed="false">
      <c r="A212" s="7" t="s">
        <v>757</v>
      </c>
      <c r="B212" s="7" t="s">
        <v>966</v>
      </c>
      <c r="C212" s="7" t="s">
        <v>432</v>
      </c>
      <c r="D212" s="7" t="s">
        <v>258</v>
      </c>
      <c r="E212" s="7" t="n">
        <v>3</v>
      </c>
      <c r="F212" s="7" t="s">
        <v>759</v>
      </c>
    </row>
    <row r="213" customFormat="false" ht="15" hidden="false" customHeight="false" outlineLevel="0" collapsed="false">
      <c r="A213" s="7" t="s">
        <v>757</v>
      </c>
      <c r="B213" s="7" t="s">
        <v>967</v>
      </c>
      <c r="C213" s="7" t="s">
        <v>434</v>
      </c>
      <c r="D213" s="7" t="s">
        <v>258</v>
      </c>
      <c r="E213" s="7" t="n">
        <v>10</v>
      </c>
      <c r="F213" s="7" t="s">
        <v>759</v>
      </c>
    </row>
    <row r="214" customFormat="false" ht="23.85" hidden="false" customHeight="false" outlineLevel="0" collapsed="false">
      <c r="A214" s="7" t="s">
        <v>757</v>
      </c>
      <c r="B214" s="7" t="s">
        <v>968</v>
      </c>
      <c r="C214" s="7" t="s">
        <v>434</v>
      </c>
      <c r="D214" s="7" t="s">
        <v>258</v>
      </c>
      <c r="E214" s="7" t="n">
        <v>4</v>
      </c>
      <c r="F214" s="7" t="s">
        <v>759</v>
      </c>
    </row>
    <row r="215" customFormat="false" ht="15" hidden="false" customHeight="false" outlineLevel="0" collapsed="false">
      <c r="A215" s="7" t="s">
        <v>757</v>
      </c>
      <c r="B215" s="7" t="s">
        <v>969</v>
      </c>
      <c r="C215" s="7" t="s">
        <v>434</v>
      </c>
      <c r="D215" s="7" t="s">
        <v>258</v>
      </c>
      <c r="E215" s="7" t="n">
        <v>3</v>
      </c>
      <c r="F215" s="7" t="s">
        <v>759</v>
      </c>
    </row>
    <row r="216" customFormat="false" ht="15" hidden="false" customHeight="false" outlineLevel="0" collapsed="false">
      <c r="A216" s="7" t="s">
        <v>757</v>
      </c>
      <c r="B216" s="7" t="s">
        <v>970</v>
      </c>
      <c r="C216" s="7" t="s">
        <v>436</v>
      </c>
      <c r="D216" s="7" t="s">
        <v>258</v>
      </c>
      <c r="E216" s="7" t="n">
        <v>10</v>
      </c>
      <c r="F216" s="7" t="s">
        <v>759</v>
      </c>
    </row>
    <row r="217" customFormat="false" ht="15" hidden="false" customHeight="false" outlineLevel="0" collapsed="false">
      <c r="A217" s="7" t="s">
        <v>757</v>
      </c>
      <c r="B217" s="7" t="s">
        <v>971</v>
      </c>
      <c r="C217" s="7" t="s">
        <v>436</v>
      </c>
      <c r="D217" s="7" t="s">
        <v>258</v>
      </c>
      <c r="E217" s="7" t="n">
        <v>4</v>
      </c>
      <c r="F217" s="7" t="s">
        <v>759</v>
      </c>
    </row>
    <row r="218" customFormat="false" ht="15" hidden="false" customHeight="false" outlineLevel="0" collapsed="false">
      <c r="A218" s="7" t="s">
        <v>757</v>
      </c>
      <c r="B218" s="7" t="s">
        <v>972</v>
      </c>
      <c r="C218" s="7" t="s">
        <v>436</v>
      </c>
      <c r="D218" s="7" t="s">
        <v>258</v>
      </c>
      <c r="E218" s="7" t="n">
        <v>3</v>
      </c>
      <c r="F218" s="7" t="s">
        <v>759</v>
      </c>
    </row>
    <row r="219" customFormat="false" ht="15" hidden="false" customHeight="false" outlineLevel="0" collapsed="false">
      <c r="A219" s="7" t="s">
        <v>757</v>
      </c>
      <c r="B219" s="7" t="s">
        <v>973</v>
      </c>
      <c r="C219" s="7" t="s">
        <v>438</v>
      </c>
      <c r="D219" s="7" t="s">
        <v>231</v>
      </c>
      <c r="E219" s="7" t="n">
        <v>4</v>
      </c>
      <c r="F219" s="7" t="s">
        <v>759</v>
      </c>
    </row>
    <row r="220" customFormat="false" ht="15" hidden="false" customHeight="false" outlineLevel="0" collapsed="false">
      <c r="A220" s="7" t="s">
        <v>757</v>
      </c>
      <c r="B220" s="7" t="s">
        <v>974</v>
      </c>
      <c r="C220" s="7" t="s">
        <v>438</v>
      </c>
      <c r="D220" s="7" t="s">
        <v>231</v>
      </c>
      <c r="E220" s="7" t="n">
        <v>10</v>
      </c>
      <c r="F220" s="7" t="s">
        <v>759</v>
      </c>
    </row>
    <row r="221" customFormat="false" ht="15" hidden="false" customHeight="false" outlineLevel="0" collapsed="false">
      <c r="A221" s="7" t="s">
        <v>757</v>
      </c>
      <c r="B221" s="7" t="s">
        <v>975</v>
      </c>
      <c r="C221" s="7" t="s">
        <v>440</v>
      </c>
      <c r="D221" s="7" t="s">
        <v>246</v>
      </c>
      <c r="E221" s="7" t="n">
        <v>4</v>
      </c>
      <c r="F221" s="7" t="s">
        <v>759</v>
      </c>
    </row>
    <row r="222" customFormat="false" ht="15" hidden="false" customHeight="false" outlineLevel="0" collapsed="false">
      <c r="A222" s="7" t="s">
        <v>757</v>
      </c>
      <c r="B222" s="7" t="s">
        <v>976</v>
      </c>
      <c r="C222" s="7" t="s">
        <v>440</v>
      </c>
      <c r="D222" s="7" t="s">
        <v>246</v>
      </c>
      <c r="E222" s="7" t="n">
        <v>10</v>
      </c>
      <c r="F222" s="7" t="s">
        <v>759</v>
      </c>
    </row>
    <row r="223" customFormat="false" ht="23.85" hidden="false" customHeight="false" outlineLevel="0" collapsed="false">
      <c r="A223" s="7" t="s">
        <v>757</v>
      </c>
      <c r="B223" s="7" t="s">
        <v>977</v>
      </c>
      <c r="C223" s="7" t="s">
        <v>440</v>
      </c>
      <c r="D223" s="7" t="s">
        <v>246</v>
      </c>
      <c r="E223" s="7" t="n">
        <v>4</v>
      </c>
      <c r="F223" s="7" t="s">
        <v>759</v>
      </c>
    </row>
    <row r="224" customFormat="false" ht="15" hidden="false" customHeight="false" outlineLevel="0" collapsed="false">
      <c r="A224" s="7" t="s">
        <v>757</v>
      </c>
      <c r="B224" s="7" t="s">
        <v>978</v>
      </c>
      <c r="C224" s="7" t="s">
        <v>443</v>
      </c>
      <c r="D224" s="7" t="s">
        <v>246</v>
      </c>
      <c r="E224" s="7" t="n">
        <v>4</v>
      </c>
      <c r="F224" s="7" t="s">
        <v>759</v>
      </c>
    </row>
    <row r="225" customFormat="false" ht="15" hidden="false" customHeight="false" outlineLevel="0" collapsed="false">
      <c r="A225" s="7" t="s">
        <v>757</v>
      </c>
      <c r="B225" s="7" t="s">
        <v>979</v>
      </c>
      <c r="C225" s="7" t="s">
        <v>443</v>
      </c>
      <c r="D225" s="7" t="s">
        <v>246</v>
      </c>
      <c r="E225" s="7" t="n">
        <v>10</v>
      </c>
      <c r="F225" s="7" t="s">
        <v>759</v>
      </c>
    </row>
    <row r="226" customFormat="false" ht="15" hidden="false" customHeight="false" outlineLevel="0" collapsed="false">
      <c r="A226" s="7" t="s">
        <v>757</v>
      </c>
      <c r="B226" s="7" t="s">
        <v>980</v>
      </c>
      <c r="C226" s="7" t="s">
        <v>443</v>
      </c>
      <c r="D226" s="7" t="s">
        <v>246</v>
      </c>
      <c r="E226" s="7" t="n">
        <v>4</v>
      </c>
      <c r="F226" s="7" t="s">
        <v>759</v>
      </c>
    </row>
    <row r="227" customFormat="false" ht="15" hidden="false" customHeight="false" outlineLevel="0" collapsed="false">
      <c r="A227" s="7" t="s">
        <v>757</v>
      </c>
      <c r="B227" s="7" t="s">
        <v>981</v>
      </c>
      <c r="C227" s="7" t="s">
        <v>445</v>
      </c>
      <c r="D227" s="7" t="s">
        <v>246</v>
      </c>
      <c r="E227" s="7" t="n">
        <v>4</v>
      </c>
      <c r="F227" s="7" t="s">
        <v>759</v>
      </c>
    </row>
    <row r="228" customFormat="false" ht="15" hidden="false" customHeight="false" outlineLevel="0" collapsed="false">
      <c r="A228" s="7" t="s">
        <v>757</v>
      </c>
      <c r="B228" s="7" t="s">
        <v>982</v>
      </c>
      <c r="C228" s="7" t="s">
        <v>445</v>
      </c>
      <c r="D228" s="7" t="s">
        <v>246</v>
      </c>
      <c r="E228" s="7" t="n">
        <v>10</v>
      </c>
      <c r="F228" s="7" t="s">
        <v>759</v>
      </c>
    </row>
    <row r="229" customFormat="false" ht="15" hidden="false" customHeight="false" outlineLevel="0" collapsed="false">
      <c r="A229" s="7" t="s">
        <v>757</v>
      </c>
      <c r="B229" s="7" t="s">
        <v>983</v>
      </c>
      <c r="C229" s="7" t="s">
        <v>445</v>
      </c>
      <c r="D229" s="7" t="s">
        <v>246</v>
      </c>
      <c r="E229" s="7" t="n">
        <v>4</v>
      </c>
      <c r="F229" s="7" t="s">
        <v>759</v>
      </c>
    </row>
    <row r="230" customFormat="false" ht="15" hidden="false" customHeight="false" outlineLevel="0" collapsed="false">
      <c r="A230" s="7" t="s">
        <v>757</v>
      </c>
      <c r="B230" s="7" t="s">
        <v>984</v>
      </c>
      <c r="C230" s="7" t="s">
        <v>447</v>
      </c>
      <c r="D230" s="7" t="s">
        <v>251</v>
      </c>
      <c r="E230" s="7" t="n">
        <v>4</v>
      </c>
      <c r="F230" s="7" t="s">
        <v>759</v>
      </c>
    </row>
    <row r="231" customFormat="false" ht="15" hidden="false" customHeight="false" outlineLevel="0" collapsed="false">
      <c r="A231" s="7" t="s">
        <v>757</v>
      </c>
      <c r="B231" s="7" t="s">
        <v>985</v>
      </c>
      <c r="C231" s="7" t="s">
        <v>447</v>
      </c>
      <c r="D231" s="7" t="s">
        <v>251</v>
      </c>
      <c r="E231" s="7" t="n">
        <v>10</v>
      </c>
      <c r="F231" s="7" t="s">
        <v>759</v>
      </c>
    </row>
    <row r="232" customFormat="false" ht="15" hidden="false" customHeight="false" outlineLevel="0" collapsed="false">
      <c r="A232" s="7" t="s">
        <v>757</v>
      </c>
      <c r="B232" s="7" t="s">
        <v>986</v>
      </c>
      <c r="C232" s="7" t="s">
        <v>447</v>
      </c>
      <c r="D232" s="7" t="s">
        <v>251</v>
      </c>
      <c r="E232" s="7" t="n">
        <v>4</v>
      </c>
      <c r="F232" s="7" t="s">
        <v>759</v>
      </c>
    </row>
    <row r="233" customFormat="false" ht="15" hidden="false" customHeight="false" outlineLevel="0" collapsed="false">
      <c r="A233" s="7" t="s">
        <v>757</v>
      </c>
      <c r="B233" s="7" t="s">
        <v>987</v>
      </c>
      <c r="C233" s="7" t="s">
        <v>449</v>
      </c>
      <c r="D233" s="7" t="s">
        <v>251</v>
      </c>
      <c r="E233" s="7" t="n">
        <v>4</v>
      </c>
      <c r="F233" s="7" t="s">
        <v>759</v>
      </c>
    </row>
    <row r="234" customFormat="false" ht="15" hidden="false" customHeight="false" outlineLevel="0" collapsed="false">
      <c r="A234" s="7" t="s">
        <v>757</v>
      </c>
      <c r="B234" s="7" t="s">
        <v>988</v>
      </c>
      <c r="C234" s="7" t="s">
        <v>449</v>
      </c>
      <c r="D234" s="7" t="s">
        <v>251</v>
      </c>
      <c r="E234" s="7" t="n">
        <v>10</v>
      </c>
      <c r="F234" s="7" t="s">
        <v>759</v>
      </c>
    </row>
    <row r="235" customFormat="false" ht="15" hidden="false" customHeight="false" outlineLevel="0" collapsed="false">
      <c r="A235" s="7" t="s">
        <v>757</v>
      </c>
      <c r="B235" s="7" t="s">
        <v>989</v>
      </c>
      <c r="C235" s="7" t="s">
        <v>449</v>
      </c>
      <c r="D235" s="7" t="s">
        <v>251</v>
      </c>
      <c r="E235" s="7" t="n">
        <v>4</v>
      </c>
      <c r="F235" s="7" t="s">
        <v>759</v>
      </c>
    </row>
    <row r="236" customFormat="false" ht="15" hidden="false" customHeight="false" outlineLevel="0" collapsed="false">
      <c r="A236" s="7" t="s">
        <v>757</v>
      </c>
      <c r="B236" s="7" t="s">
        <v>990</v>
      </c>
      <c r="C236" s="7" t="s">
        <v>451</v>
      </c>
      <c r="D236" s="7" t="s">
        <v>251</v>
      </c>
      <c r="E236" s="7" t="n">
        <v>4</v>
      </c>
      <c r="F236" s="7" t="s">
        <v>759</v>
      </c>
    </row>
    <row r="237" customFormat="false" ht="15" hidden="false" customHeight="false" outlineLevel="0" collapsed="false">
      <c r="A237" s="7" t="s">
        <v>757</v>
      </c>
      <c r="B237" s="7" t="s">
        <v>991</v>
      </c>
      <c r="C237" s="7" t="s">
        <v>451</v>
      </c>
      <c r="D237" s="7" t="s">
        <v>251</v>
      </c>
      <c r="E237" s="7" t="n">
        <v>8</v>
      </c>
      <c r="F237" s="7" t="s">
        <v>759</v>
      </c>
    </row>
    <row r="238" customFormat="false" ht="15" hidden="false" customHeight="false" outlineLevel="0" collapsed="false">
      <c r="A238" s="7" t="s">
        <v>757</v>
      </c>
      <c r="B238" s="7" t="s">
        <v>992</v>
      </c>
      <c r="C238" s="7" t="s">
        <v>451</v>
      </c>
      <c r="D238" s="7" t="s">
        <v>251</v>
      </c>
      <c r="E238" s="7" t="n">
        <v>4</v>
      </c>
      <c r="F238" s="7" t="s">
        <v>759</v>
      </c>
    </row>
    <row r="239" customFormat="false" ht="15" hidden="false" customHeight="false" outlineLevel="0" collapsed="false">
      <c r="A239" s="7" t="s">
        <v>757</v>
      </c>
      <c r="B239" s="7" t="s">
        <v>993</v>
      </c>
      <c r="C239" s="7" t="s">
        <v>453</v>
      </c>
      <c r="D239" s="7" t="s">
        <v>254</v>
      </c>
      <c r="E239" s="7" t="n">
        <v>10</v>
      </c>
      <c r="F239" s="7" t="s">
        <v>759</v>
      </c>
    </row>
    <row r="240" customFormat="false" ht="15" hidden="false" customHeight="false" outlineLevel="0" collapsed="false">
      <c r="A240" s="7" t="s">
        <v>757</v>
      </c>
      <c r="B240" s="7" t="s">
        <v>994</v>
      </c>
      <c r="C240" s="7" t="s">
        <v>453</v>
      </c>
      <c r="D240" s="7" t="s">
        <v>254</v>
      </c>
      <c r="E240" s="7" t="n">
        <v>4</v>
      </c>
      <c r="F240" s="7" t="s">
        <v>759</v>
      </c>
    </row>
    <row r="241" customFormat="false" ht="15" hidden="false" customHeight="false" outlineLevel="0" collapsed="false">
      <c r="A241" s="7" t="s">
        <v>757</v>
      </c>
      <c r="B241" s="7" t="s">
        <v>995</v>
      </c>
      <c r="C241" s="7" t="s">
        <v>453</v>
      </c>
      <c r="D241" s="7" t="s">
        <v>254</v>
      </c>
      <c r="E241" s="7" t="n">
        <v>3</v>
      </c>
      <c r="F241" s="7" t="s">
        <v>759</v>
      </c>
    </row>
    <row r="242" customFormat="false" ht="15" hidden="false" customHeight="false" outlineLevel="0" collapsed="false">
      <c r="A242" s="7" t="s">
        <v>757</v>
      </c>
      <c r="B242" s="7" t="s">
        <v>996</v>
      </c>
      <c r="C242" s="7" t="s">
        <v>455</v>
      </c>
      <c r="D242" s="7" t="s">
        <v>254</v>
      </c>
      <c r="E242" s="7" t="n">
        <v>10</v>
      </c>
      <c r="F242" s="7" t="s">
        <v>759</v>
      </c>
    </row>
    <row r="243" customFormat="false" ht="15" hidden="false" customHeight="false" outlineLevel="0" collapsed="false">
      <c r="A243" s="7" t="s">
        <v>757</v>
      </c>
      <c r="B243" s="7" t="s">
        <v>997</v>
      </c>
      <c r="C243" s="7" t="s">
        <v>455</v>
      </c>
      <c r="D243" s="7" t="s">
        <v>254</v>
      </c>
      <c r="E243" s="7" t="n">
        <v>4</v>
      </c>
      <c r="F243" s="7" t="s">
        <v>759</v>
      </c>
    </row>
    <row r="244" customFormat="false" ht="15" hidden="false" customHeight="false" outlineLevel="0" collapsed="false">
      <c r="A244" s="7" t="s">
        <v>757</v>
      </c>
      <c r="B244" s="7" t="s">
        <v>998</v>
      </c>
      <c r="C244" s="7" t="s">
        <v>455</v>
      </c>
      <c r="D244" s="7" t="s">
        <v>254</v>
      </c>
      <c r="E244" s="7" t="n">
        <v>3</v>
      </c>
      <c r="F244" s="7" t="s">
        <v>759</v>
      </c>
    </row>
    <row r="245" customFormat="false" ht="23.85" hidden="false" customHeight="false" outlineLevel="0" collapsed="false">
      <c r="A245" s="7" t="s">
        <v>757</v>
      </c>
      <c r="B245" s="7" t="s">
        <v>999</v>
      </c>
      <c r="C245" s="7" t="s">
        <v>457</v>
      </c>
      <c r="D245" s="7" t="s">
        <v>254</v>
      </c>
      <c r="E245" s="7" t="n">
        <v>10</v>
      </c>
      <c r="F245" s="7" t="s">
        <v>759</v>
      </c>
    </row>
    <row r="246" customFormat="false" ht="23.85" hidden="false" customHeight="false" outlineLevel="0" collapsed="false">
      <c r="A246" s="7" t="s">
        <v>757</v>
      </c>
      <c r="B246" s="7" t="s">
        <v>1000</v>
      </c>
      <c r="C246" s="7" t="s">
        <v>457</v>
      </c>
      <c r="D246" s="7" t="s">
        <v>254</v>
      </c>
      <c r="E246" s="7" t="n">
        <v>4</v>
      </c>
      <c r="F246" s="7" t="s">
        <v>759</v>
      </c>
    </row>
    <row r="247" customFormat="false" ht="15" hidden="false" customHeight="false" outlineLevel="0" collapsed="false">
      <c r="A247" s="7" t="s">
        <v>757</v>
      </c>
      <c r="B247" s="7" t="s">
        <v>1001</v>
      </c>
      <c r="C247" s="7" t="s">
        <v>457</v>
      </c>
      <c r="D247" s="7" t="s">
        <v>254</v>
      </c>
      <c r="E247" s="7" t="n">
        <v>3</v>
      </c>
      <c r="F247" s="7" t="s">
        <v>759</v>
      </c>
    </row>
    <row r="248" customFormat="false" ht="15" hidden="false" customHeight="false" outlineLevel="0" collapsed="false">
      <c r="A248" s="7" t="s">
        <v>757</v>
      </c>
      <c r="B248" s="7" t="s">
        <v>1002</v>
      </c>
      <c r="C248" s="7" t="s">
        <v>459</v>
      </c>
      <c r="D248" s="7" t="s">
        <v>258</v>
      </c>
      <c r="E248" s="7" t="n">
        <v>10</v>
      </c>
      <c r="F248" s="7" t="s">
        <v>759</v>
      </c>
    </row>
    <row r="249" customFormat="false" ht="15" hidden="false" customHeight="false" outlineLevel="0" collapsed="false">
      <c r="A249" s="7" t="s">
        <v>757</v>
      </c>
      <c r="B249" s="7" t="s">
        <v>1003</v>
      </c>
      <c r="C249" s="7" t="s">
        <v>459</v>
      </c>
      <c r="D249" s="7" t="s">
        <v>258</v>
      </c>
      <c r="E249" s="7" t="n">
        <v>4</v>
      </c>
      <c r="F249" s="7" t="s">
        <v>759</v>
      </c>
    </row>
    <row r="250" customFormat="false" ht="15" hidden="false" customHeight="false" outlineLevel="0" collapsed="false">
      <c r="A250" s="7" t="s">
        <v>757</v>
      </c>
      <c r="B250" s="7" t="s">
        <v>1004</v>
      </c>
      <c r="C250" s="7" t="s">
        <v>459</v>
      </c>
      <c r="D250" s="7" t="s">
        <v>258</v>
      </c>
      <c r="E250" s="7" t="n">
        <v>3</v>
      </c>
      <c r="F250" s="7" t="s">
        <v>759</v>
      </c>
    </row>
    <row r="251" customFormat="false" ht="23.85" hidden="false" customHeight="false" outlineLevel="0" collapsed="false">
      <c r="A251" s="7" t="s">
        <v>757</v>
      </c>
      <c r="B251" s="7" t="s">
        <v>1005</v>
      </c>
      <c r="C251" s="7" t="s">
        <v>461</v>
      </c>
      <c r="D251" s="7" t="s">
        <v>258</v>
      </c>
      <c r="E251" s="7" t="n">
        <v>10</v>
      </c>
      <c r="F251" s="7" t="s">
        <v>759</v>
      </c>
    </row>
    <row r="252" customFormat="false" ht="23.85" hidden="false" customHeight="false" outlineLevel="0" collapsed="false">
      <c r="A252" s="7" t="s">
        <v>757</v>
      </c>
      <c r="B252" s="7" t="s">
        <v>1006</v>
      </c>
      <c r="C252" s="7" t="s">
        <v>461</v>
      </c>
      <c r="D252" s="7" t="s">
        <v>258</v>
      </c>
      <c r="E252" s="7" t="n">
        <v>4</v>
      </c>
      <c r="F252" s="7" t="s">
        <v>759</v>
      </c>
    </row>
    <row r="253" customFormat="false" ht="15" hidden="false" customHeight="false" outlineLevel="0" collapsed="false">
      <c r="A253" s="7" t="s">
        <v>757</v>
      </c>
      <c r="B253" s="7" t="s">
        <v>1007</v>
      </c>
      <c r="C253" s="7" t="s">
        <v>461</v>
      </c>
      <c r="D253" s="7" t="s">
        <v>258</v>
      </c>
      <c r="E253" s="7" t="n">
        <v>3</v>
      </c>
      <c r="F253" s="7" t="s">
        <v>759</v>
      </c>
    </row>
    <row r="254" customFormat="false" ht="15" hidden="false" customHeight="false" outlineLevel="0" collapsed="false">
      <c r="A254" s="7" t="s">
        <v>757</v>
      </c>
      <c r="B254" s="7" t="s">
        <v>1008</v>
      </c>
      <c r="C254" s="7" t="s">
        <v>463</v>
      </c>
      <c r="D254" s="7" t="s">
        <v>258</v>
      </c>
      <c r="E254" s="7" t="n">
        <v>10</v>
      </c>
      <c r="F254" s="7" t="s">
        <v>759</v>
      </c>
    </row>
    <row r="255" customFormat="false" ht="15" hidden="false" customHeight="false" outlineLevel="0" collapsed="false">
      <c r="A255" s="7" t="s">
        <v>757</v>
      </c>
      <c r="B255" s="7" t="s">
        <v>1009</v>
      </c>
      <c r="C255" s="7" t="s">
        <v>463</v>
      </c>
      <c r="D255" s="7" t="s">
        <v>258</v>
      </c>
      <c r="E255" s="7" t="n">
        <v>4</v>
      </c>
      <c r="F255" s="7" t="s">
        <v>759</v>
      </c>
    </row>
    <row r="256" customFormat="false" ht="15" hidden="false" customHeight="false" outlineLevel="0" collapsed="false">
      <c r="A256" s="7" t="s">
        <v>757</v>
      </c>
      <c r="B256" s="7" t="s">
        <v>1010</v>
      </c>
      <c r="C256" s="7" t="s">
        <v>463</v>
      </c>
      <c r="D256" s="7" t="s">
        <v>258</v>
      </c>
      <c r="E256" s="7" t="n">
        <v>3</v>
      </c>
      <c r="F256" s="7" t="s">
        <v>759</v>
      </c>
    </row>
    <row r="257" customFormat="false" ht="15" hidden="false" customHeight="false" outlineLevel="0" collapsed="false">
      <c r="A257" s="7" t="s">
        <v>757</v>
      </c>
      <c r="B257" s="7" t="s">
        <v>1011</v>
      </c>
      <c r="C257" s="7" t="s">
        <v>465</v>
      </c>
      <c r="D257" s="7" t="s">
        <v>231</v>
      </c>
      <c r="E257" s="7" t="n">
        <v>4</v>
      </c>
      <c r="F257" s="7" t="s">
        <v>759</v>
      </c>
    </row>
    <row r="258" customFormat="false" ht="15" hidden="false" customHeight="false" outlineLevel="0" collapsed="false">
      <c r="A258" s="7" t="s">
        <v>757</v>
      </c>
      <c r="B258" s="7" t="s">
        <v>1012</v>
      </c>
      <c r="C258" s="7" t="s">
        <v>465</v>
      </c>
      <c r="D258" s="7" t="s">
        <v>231</v>
      </c>
      <c r="E258" s="7" t="n">
        <v>10</v>
      </c>
      <c r="F258" s="7" t="s">
        <v>759</v>
      </c>
    </row>
    <row r="259" customFormat="false" ht="23.85" hidden="false" customHeight="false" outlineLevel="0" collapsed="false">
      <c r="A259" s="7" t="s">
        <v>757</v>
      </c>
      <c r="B259" s="7" t="s">
        <v>1013</v>
      </c>
      <c r="C259" s="7" t="s">
        <v>467</v>
      </c>
      <c r="D259" s="7" t="s">
        <v>246</v>
      </c>
      <c r="E259" s="7" t="n">
        <v>4</v>
      </c>
      <c r="F259" s="7" t="s">
        <v>759</v>
      </c>
    </row>
    <row r="260" customFormat="false" ht="23.85" hidden="false" customHeight="false" outlineLevel="0" collapsed="false">
      <c r="A260" s="7" t="s">
        <v>757</v>
      </c>
      <c r="B260" s="7" t="s">
        <v>1014</v>
      </c>
      <c r="C260" s="7" t="s">
        <v>467</v>
      </c>
      <c r="D260" s="7" t="s">
        <v>246</v>
      </c>
      <c r="E260" s="7" t="n">
        <v>10</v>
      </c>
      <c r="F260" s="7" t="s">
        <v>759</v>
      </c>
    </row>
    <row r="261" customFormat="false" ht="23.85" hidden="false" customHeight="false" outlineLevel="0" collapsed="false">
      <c r="A261" s="7" t="s">
        <v>757</v>
      </c>
      <c r="B261" s="7" t="s">
        <v>1015</v>
      </c>
      <c r="C261" s="7" t="s">
        <v>467</v>
      </c>
      <c r="D261" s="7" t="s">
        <v>246</v>
      </c>
      <c r="E261" s="7" t="n">
        <v>4</v>
      </c>
      <c r="F261" s="7" t="s">
        <v>759</v>
      </c>
    </row>
    <row r="262" customFormat="false" ht="15" hidden="false" customHeight="false" outlineLevel="0" collapsed="false">
      <c r="A262" s="7" t="s">
        <v>757</v>
      </c>
      <c r="B262" s="7" t="s">
        <v>1016</v>
      </c>
      <c r="C262" s="7" t="s">
        <v>470</v>
      </c>
      <c r="D262" s="7" t="s">
        <v>251</v>
      </c>
      <c r="E262" s="7" t="n">
        <v>4</v>
      </c>
      <c r="F262" s="7" t="s">
        <v>759</v>
      </c>
    </row>
    <row r="263" customFormat="false" ht="15" hidden="false" customHeight="false" outlineLevel="0" collapsed="false">
      <c r="A263" s="7" t="s">
        <v>757</v>
      </c>
      <c r="B263" s="7" t="s">
        <v>1017</v>
      </c>
      <c r="C263" s="7" t="s">
        <v>470</v>
      </c>
      <c r="D263" s="7" t="s">
        <v>251</v>
      </c>
      <c r="E263" s="7" t="n">
        <v>10</v>
      </c>
      <c r="F263" s="7" t="s">
        <v>759</v>
      </c>
    </row>
    <row r="264" customFormat="false" ht="23.85" hidden="false" customHeight="false" outlineLevel="0" collapsed="false">
      <c r="A264" s="7" t="s">
        <v>757</v>
      </c>
      <c r="B264" s="7" t="s">
        <v>1018</v>
      </c>
      <c r="C264" s="7" t="s">
        <v>470</v>
      </c>
      <c r="D264" s="7" t="s">
        <v>251</v>
      </c>
      <c r="E264" s="7" t="n">
        <v>4</v>
      </c>
      <c r="F264" s="7" t="s">
        <v>759</v>
      </c>
    </row>
    <row r="265" customFormat="false" ht="15" hidden="false" customHeight="false" outlineLevel="0" collapsed="false">
      <c r="A265" s="7" t="s">
        <v>757</v>
      </c>
      <c r="B265" s="7" t="s">
        <v>1019</v>
      </c>
      <c r="C265" s="7" t="s">
        <v>472</v>
      </c>
      <c r="D265" s="7" t="s">
        <v>246</v>
      </c>
      <c r="E265" s="7" t="n">
        <v>4</v>
      </c>
      <c r="F265" s="7" t="s">
        <v>759</v>
      </c>
    </row>
    <row r="266" customFormat="false" ht="15" hidden="false" customHeight="false" outlineLevel="0" collapsed="false">
      <c r="A266" s="7" t="s">
        <v>757</v>
      </c>
      <c r="B266" s="7" t="s">
        <v>1020</v>
      </c>
      <c r="C266" s="7" t="s">
        <v>472</v>
      </c>
      <c r="D266" s="7" t="s">
        <v>246</v>
      </c>
      <c r="E266" s="7" t="n">
        <v>16</v>
      </c>
      <c r="F266" s="7" t="s">
        <v>759</v>
      </c>
    </row>
    <row r="267" customFormat="false" ht="15" hidden="false" customHeight="false" outlineLevel="0" collapsed="false">
      <c r="A267" s="7" t="s">
        <v>757</v>
      </c>
      <c r="B267" s="7" t="s">
        <v>1021</v>
      </c>
      <c r="C267" s="7" t="s">
        <v>472</v>
      </c>
      <c r="D267" s="7" t="s">
        <v>246</v>
      </c>
      <c r="E267" s="7" t="n">
        <v>4</v>
      </c>
      <c r="F267" s="7" t="s">
        <v>759</v>
      </c>
    </row>
    <row r="268" customFormat="false" ht="15" hidden="false" customHeight="false" outlineLevel="0" collapsed="false">
      <c r="A268" s="7" t="s">
        <v>757</v>
      </c>
      <c r="B268" s="7" t="s">
        <v>1022</v>
      </c>
      <c r="C268" s="7" t="s">
        <v>474</v>
      </c>
      <c r="D268" s="7" t="s">
        <v>251</v>
      </c>
      <c r="E268" s="7" t="n">
        <v>4</v>
      </c>
      <c r="F268" s="7" t="s">
        <v>759</v>
      </c>
    </row>
    <row r="269" customFormat="false" ht="15" hidden="false" customHeight="false" outlineLevel="0" collapsed="false">
      <c r="A269" s="7" t="s">
        <v>757</v>
      </c>
      <c r="B269" s="7" t="s">
        <v>1023</v>
      </c>
      <c r="C269" s="7" t="s">
        <v>474</v>
      </c>
      <c r="D269" s="7" t="s">
        <v>251</v>
      </c>
      <c r="E269" s="7" t="n">
        <v>10</v>
      </c>
      <c r="F269" s="7" t="s">
        <v>759</v>
      </c>
    </row>
    <row r="270" customFormat="false" ht="15" hidden="false" customHeight="false" outlineLevel="0" collapsed="false">
      <c r="A270" s="7" t="s">
        <v>757</v>
      </c>
      <c r="B270" s="7" t="s">
        <v>1024</v>
      </c>
      <c r="C270" s="7" t="s">
        <v>474</v>
      </c>
      <c r="D270" s="7" t="s">
        <v>251</v>
      </c>
      <c r="E270" s="7" t="n">
        <v>4</v>
      </c>
      <c r="F270" s="7" t="s">
        <v>759</v>
      </c>
    </row>
    <row r="271" customFormat="false" ht="15" hidden="false" customHeight="false" outlineLevel="0" collapsed="false">
      <c r="A271" s="7" t="s">
        <v>757</v>
      </c>
      <c r="B271" s="7" t="s">
        <v>1025</v>
      </c>
      <c r="C271" s="7" t="s">
        <v>476</v>
      </c>
      <c r="D271" s="7" t="s">
        <v>251</v>
      </c>
      <c r="E271" s="7" t="n">
        <v>4</v>
      </c>
      <c r="F271" s="7" t="s">
        <v>759</v>
      </c>
    </row>
    <row r="272" customFormat="false" ht="15" hidden="false" customHeight="false" outlineLevel="0" collapsed="false">
      <c r="A272" s="7" t="s">
        <v>757</v>
      </c>
      <c r="B272" s="7" t="s">
        <v>1026</v>
      </c>
      <c r="C272" s="7" t="s">
        <v>476</v>
      </c>
      <c r="D272" s="7" t="s">
        <v>251</v>
      </c>
      <c r="E272" s="7" t="n">
        <v>8</v>
      </c>
      <c r="F272" s="7" t="s">
        <v>759</v>
      </c>
    </row>
    <row r="273" customFormat="false" ht="15" hidden="false" customHeight="false" outlineLevel="0" collapsed="false">
      <c r="A273" s="7" t="s">
        <v>757</v>
      </c>
      <c r="B273" s="7" t="s">
        <v>1027</v>
      </c>
      <c r="C273" s="7" t="s">
        <v>476</v>
      </c>
      <c r="D273" s="7" t="s">
        <v>251</v>
      </c>
      <c r="E273" s="7" t="n">
        <v>4</v>
      </c>
      <c r="F273" s="7" t="s">
        <v>759</v>
      </c>
    </row>
    <row r="274" customFormat="false" ht="15" hidden="false" customHeight="false" outlineLevel="0" collapsed="false">
      <c r="A274" s="7" t="s">
        <v>757</v>
      </c>
      <c r="B274" s="7" t="s">
        <v>1028</v>
      </c>
      <c r="C274" s="7" t="s">
        <v>478</v>
      </c>
      <c r="D274" s="7" t="s">
        <v>254</v>
      </c>
      <c r="E274" s="7" t="n">
        <v>10</v>
      </c>
      <c r="F274" s="7" t="s">
        <v>759</v>
      </c>
    </row>
    <row r="275" customFormat="false" ht="15" hidden="false" customHeight="false" outlineLevel="0" collapsed="false">
      <c r="A275" s="7" t="s">
        <v>757</v>
      </c>
      <c r="B275" s="7" t="s">
        <v>1029</v>
      </c>
      <c r="C275" s="7" t="s">
        <v>478</v>
      </c>
      <c r="D275" s="7" t="s">
        <v>254</v>
      </c>
      <c r="E275" s="7" t="n">
        <v>4</v>
      </c>
      <c r="F275" s="7" t="s">
        <v>759</v>
      </c>
    </row>
    <row r="276" customFormat="false" ht="15" hidden="false" customHeight="false" outlineLevel="0" collapsed="false">
      <c r="A276" s="7" t="s">
        <v>757</v>
      </c>
      <c r="B276" s="7" t="s">
        <v>1030</v>
      </c>
      <c r="C276" s="7" t="s">
        <v>478</v>
      </c>
      <c r="D276" s="7" t="s">
        <v>254</v>
      </c>
      <c r="E276" s="7" t="n">
        <v>3</v>
      </c>
      <c r="F276" s="7" t="s">
        <v>759</v>
      </c>
    </row>
    <row r="277" customFormat="false" ht="15" hidden="false" customHeight="false" outlineLevel="0" collapsed="false">
      <c r="A277" s="7" t="s">
        <v>757</v>
      </c>
      <c r="B277" s="7" t="s">
        <v>1031</v>
      </c>
      <c r="C277" s="7" t="s">
        <v>480</v>
      </c>
      <c r="D277" s="7" t="s">
        <v>254</v>
      </c>
      <c r="E277" s="7" t="n">
        <v>16</v>
      </c>
      <c r="F277" s="7" t="s">
        <v>759</v>
      </c>
    </row>
    <row r="278" customFormat="false" ht="23.85" hidden="false" customHeight="false" outlineLevel="0" collapsed="false">
      <c r="A278" s="7" t="s">
        <v>757</v>
      </c>
      <c r="B278" s="7" t="s">
        <v>1032</v>
      </c>
      <c r="C278" s="7" t="s">
        <v>480</v>
      </c>
      <c r="D278" s="7" t="s">
        <v>254</v>
      </c>
      <c r="E278" s="7" t="n">
        <v>4</v>
      </c>
      <c r="F278" s="7" t="s">
        <v>759</v>
      </c>
    </row>
    <row r="279" customFormat="false" ht="15" hidden="false" customHeight="false" outlineLevel="0" collapsed="false">
      <c r="A279" s="7" t="s">
        <v>757</v>
      </c>
      <c r="B279" s="7" t="s">
        <v>1033</v>
      </c>
      <c r="C279" s="7" t="s">
        <v>480</v>
      </c>
      <c r="D279" s="7" t="s">
        <v>254</v>
      </c>
      <c r="E279" s="7" t="n">
        <v>3</v>
      </c>
      <c r="F279" s="7" t="s">
        <v>759</v>
      </c>
    </row>
    <row r="280" customFormat="false" ht="15" hidden="false" customHeight="false" outlineLevel="0" collapsed="false">
      <c r="A280" s="7" t="s">
        <v>757</v>
      </c>
      <c r="B280" s="7" t="s">
        <v>1034</v>
      </c>
      <c r="C280" s="7" t="s">
        <v>482</v>
      </c>
      <c r="D280" s="7" t="s">
        <v>258</v>
      </c>
      <c r="E280" s="7" t="n">
        <v>10</v>
      </c>
      <c r="F280" s="7" t="s">
        <v>759</v>
      </c>
    </row>
    <row r="281" customFormat="false" ht="23.85" hidden="false" customHeight="false" outlineLevel="0" collapsed="false">
      <c r="A281" s="7" t="s">
        <v>757</v>
      </c>
      <c r="B281" s="7" t="s">
        <v>1035</v>
      </c>
      <c r="C281" s="7" t="s">
        <v>482</v>
      </c>
      <c r="D281" s="7" t="s">
        <v>258</v>
      </c>
      <c r="E281" s="7" t="n">
        <v>4</v>
      </c>
      <c r="F281" s="7" t="s">
        <v>759</v>
      </c>
    </row>
    <row r="282" customFormat="false" ht="15" hidden="false" customHeight="false" outlineLevel="0" collapsed="false">
      <c r="A282" s="7" t="s">
        <v>757</v>
      </c>
      <c r="B282" s="7" t="s">
        <v>1036</v>
      </c>
      <c r="C282" s="7" t="s">
        <v>482</v>
      </c>
      <c r="D282" s="7" t="s">
        <v>258</v>
      </c>
      <c r="E282" s="7" t="n">
        <v>3</v>
      </c>
      <c r="F282" s="7" t="s">
        <v>759</v>
      </c>
    </row>
    <row r="283" customFormat="false" ht="15" hidden="false" customHeight="false" outlineLevel="0" collapsed="false">
      <c r="A283" s="7" t="s">
        <v>757</v>
      </c>
      <c r="B283" s="7" t="s">
        <v>1037</v>
      </c>
      <c r="C283" s="7" t="s">
        <v>484</v>
      </c>
      <c r="D283" s="7" t="s">
        <v>258</v>
      </c>
      <c r="E283" s="7" t="n">
        <v>10</v>
      </c>
      <c r="F283" s="7" t="s">
        <v>759</v>
      </c>
    </row>
    <row r="284" customFormat="false" ht="23.85" hidden="false" customHeight="false" outlineLevel="0" collapsed="false">
      <c r="A284" s="7" t="s">
        <v>757</v>
      </c>
      <c r="B284" s="7" t="s">
        <v>1038</v>
      </c>
      <c r="C284" s="7" t="s">
        <v>484</v>
      </c>
      <c r="D284" s="7" t="s">
        <v>258</v>
      </c>
      <c r="E284" s="7" t="n">
        <v>4</v>
      </c>
      <c r="F284" s="7" t="s">
        <v>759</v>
      </c>
    </row>
    <row r="285" customFormat="false" ht="15" hidden="false" customHeight="false" outlineLevel="0" collapsed="false">
      <c r="A285" s="7" t="s">
        <v>757</v>
      </c>
      <c r="B285" s="7" t="s">
        <v>1039</v>
      </c>
      <c r="C285" s="7" t="s">
        <v>484</v>
      </c>
      <c r="D285" s="7" t="s">
        <v>258</v>
      </c>
      <c r="E285" s="7" t="n">
        <v>3</v>
      </c>
      <c r="F285" s="7" t="s">
        <v>759</v>
      </c>
    </row>
    <row r="286" customFormat="false" ht="23.85" hidden="false" customHeight="false" outlineLevel="0" collapsed="false">
      <c r="A286" s="7" t="s">
        <v>757</v>
      </c>
      <c r="B286" s="7" t="s">
        <v>1040</v>
      </c>
      <c r="C286" s="7" t="s">
        <v>486</v>
      </c>
      <c r="D286" s="7" t="s">
        <v>258</v>
      </c>
      <c r="E286" s="7" t="n">
        <v>8</v>
      </c>
      <c r="F286" s="7" t="s">
        <v>759</v>
      </c>
    </row>
    <row r="287" customFormat="false" ht="23.85" hidden="false" customHeight="false" outlineLevel="0" collapsed="false">
      <c r="A287" s="7" t="s">
        <v>757</v>
      </c>
      <c r="B287" s="7" t="s">
        <v>1041</v>
      </c>
      <c r="C287" s="7" t="s">
        <v>486</v>
      </c>
      <c r="D287" s="7" t="s">
        <v>258</v>
      </c>
      <c r="E287" s="7" t="n">
        <v>4</v>
      </c>
      <c r="F287" s="7" t="s">
        <v>759</v>
      </c>
    </row>
    <row r="288" customFormat="false" ht="15" hidden="false" customHeight="false" outlineLevel="0" collapsed="false">
      <c r="A288" s="7" t="s">
        <v>757</v>
      </c>
      <c r="B288" s="7" t="s">
        <v>1042</v>
      </c>
      <c r="C288" s="7" t="s">
        <v>486</v>
      </c>
      <c r="D288" s="7" t="s">
        <v>258</v>
      </c>
      <c r="E288" s="7" t="n">
        <v>3</v>
      </c>
      <c r="F288" s="7" t="s">
        <v>759</v>
      </c>
    </row>
    <row r="289" customFormat="false" ht="15" hidden="false" customHeight="false" outlineLevel="0" collapsed="false">
      <c r="A289" s="7" t="s">
        <v>757</v>
      </c>
      <c r="B289" s="7" t="s">
        <v>1043</v>
      </c>
      <c r="C289" s="7" t="s">
        <v>488</v>
      </c>
      <c r="D289" s="7" t="s">
        <v>231</v>
      </c>
      <c r="E289" s="7" t="n">
        <v>4</v>
      </c>
      <c r="F289" s="7" t="s">
        <v>759</v>
      </c>
    </row>
    <row r="290" customFormat="false" ht="15" hidden="false" customHeight="false" outlineLevel="0" collapsed="false">
      <c r="A290" s="7" t="s">
        <v>757</v>
      </c>
      <c r="B290" s="7" t="s">
        <v>1044</v>
      </c>
      <c r="C290" s="7" t="s">
        <v>488</v>
      </c>
      <c r="D290" s="7" t="s">
        <v>231</v>
      </c>
      <c r="E290" s="7" t="n">
        <v>10</v>
      </c>
      <c r="F290" s="7" t="s">
        <v>759</v>
      </c>
    </row>
    <row r="291" customFormat="false" ht="15" hidden="false" customHeight="false" outlineLevel="0" collapsed="false">
      <c r="A291" s="7" t="s">
        <v>757</v>
      </c>
      <c r="B291" s="7" t="s">
        <v>1045</v>
      </c>
      <c r="C291" s="7" t="s">
        <v>490</v>
      </c>
      <c r="D291" s="7" t="s">
        <v>231</v>
      </c>
      <c r="E291" s="7" t="n">
        <v>4</v>
      </c>
      <c r="F291" s="7" t="s">
        <v>759</v>
      </c>
    </row>
    <row r="292" customFormat="false" ht="15" hidden="false" customHeight="false" outlineLevel="0" collapsed="false">
      <c r="A292" s="7" t="s">
        <v>757</v>
      </c>
      <c r="B292" s="7" t="s">
        <v>1046</v>
      </c>
      <c r="C292" s="7" t="s">
        <v>490</v>
      </c>
      <c r="D292" s="7" t="s">
        <v>231</v>
      </c>
      <c r="E292" s="7" t="n">
        <v>8</v>
      </c>
      <c r="F292" s="7" t="s">
        <v>759</v>
      </c>
    </row>
    <row r="293" customFormat="false" ht="15" hidden="false" customHeight="false" outlineLevel="0" collapsed="false">
      <c r="A293" s="7" t="s">
        <v>757</v>
      </c>
      <c r="B293" s="7" t="s">
        <v>1047</v>
      </c>
      <c r="C293" s="7" t="s">
        <v>492</v>
      </c>
      <c r="D293" s="7" t="s">
        <v>246</v>
      </c>
      <c r="E293" s="7" t="n">
        <v>4</v>
      </c>
      <c r="F293" s="7" t="s">
        <v>759</v>
      </c>
    </row>
    <row r="294" customFormat="false" ht="15" hidden="false" customHeight="false" outlineLevel="0" collapsed="false">
      <c r="A294" s="7" t="s">
        <v>757</v>
      </c>
      <c r="B294" s="7" t="s">
        <v>1048</v>
      </c>
      <c r="C294" s="7" t="s">
        <v>492</v>
      </c>
      <c r="D294" s="7" t="s">
        <v>246</v>
      </c>
      <c r="E294" s="7" t="n">
        <v>10</v>
      </c>
      <c r="F294" s="7" t="s">
        <v>759</v>
      </c>
    </row>
    <row r="295" customFormat="false" ht="15" hidden="false" customHeight="false" outlineLevel="0" collapsed="false">
      <c r="A295" s="7" t="s">
        <v>757</v>
      </c>
      <c r="B295" s="7" t="s">
        <v>1049</v>
      </c>
      <c r="C295" s="7" t="s">
        <v>492</v>
      </c>
      <c r="D295" s="7" t="s">
        <v>246</v>
      </c>
      <c r="E295" s="7" t="n">
        <v>4</v>
      </c>
      <c r="F295" s="7" t="s">
        <v>759</v>
      </c>
    </row>
    <row r="296" customFormat="false" ht="15" hidden="false" customHeight="false" outlineLevel="0" collapsed="false">
      <c r="A296" s="7" t="s">
        <v>757</v>
      </c>
      <c r="B296" s="7" t="s">
        <v>1050</v>
      </c>
      <c r="C296" s="7" t="s">
        <v>496</v>
      </c>
      <c r="D296" s="7" t="s">
        <v>246</v>
      </c>
      <c r="E296" s="7" t="n">
        <v>4</v>
      </c>
      <c r="F296" s="7" t="s">
        <v>759</v>
      </c>
    </row>
    <row r="297" customFormat="false" ht="15" hidden="false" customHeight="false" outlineLevel="0" collapsed="false">
      <c r="A297" s="7" t="s">
        <v>757</v>
      </c>
      <c r="B297" s="7" t="s">
        <v>1051</v>
      </c>
      <c r="C297" s="7" t="s">
        <v>496</v>
      </c>
      <c r="D297" s="7" t="s">
        <v>246</v>
      </c>
      <c r="E297" s="7" t="n">
        <v>8</v>
      </c>
      <c r="F297" s="7" t="s">
        <v>759</v>
      </c>
    </row>
    <row r="298" customFormat="false" ht="15" hidden="false" customHeight="false" outlineLevel="0" collapsed="false">
      <c r="A298" s="7" t="s">
        <v>757</v>
      </c>
      <c r="B298" s="7" t="s">
        <v>1052</v>
      </c>
      <c r="C298" s="7" t="s">
        <v>496</v>
      </c>
      <c r="D298" s="7" t="s">
        <v>246</v>
      </c>
      <c r="E298" s="7" t="n">
        <v>4</v>
      </c>
      <c r="F298" s="7" t="s">
        <v>759</v>
      </c>
    </row>
    <row r="299" customFormat="false" ht="15" hidden="false" customHeight="false" outlineLevel="0" collapsed="false">
      <c r="A299" s="7" t="s">
        <v>757</v>
      </c>
      <c r="B299" s="7" t="s">
        <v>1053</v>
      </c>
      <c r="C299" s="7" t="s">
        <v>498</v>
      </c>
      <c r="D299" s="7" t="s">
        <v>251</v>
      </c>
      <c r="E299" s="7" t="n">
        <v>4</v>
      </c>
      <c r="F299" s="7" t="s">
        <v>759</v>
      </c>
    </row>
    <row r="300" customFormat="false" ht="15" hidden="false" customHeight="false" outlineLevel="0" collapsed="false">
      <c r="A300" s="7" t="s">
        <v>757</v>
      </c>
      <c r="B300" s="7" t="s">
        <v>1054</v>
      </c>
      <c r="C300" s="7" t="s">
        <v>498</v>
      </c>
      <c r="D300" s="7" t="s">
        <v>251</v>
      </c>
      <c r="E300" s="7" t="n">
        <v>10</v>
      </c>
      <c r="F300" s="7" t="s">
        <v>759</v>
      </c>
    </row>
    <row r="301" customFormat="false" ht="15" hidden="false" customHeight="false" outlineLevel="0" collapsed="false">
      <c r="A301" s="7" t="s">
        <v>757</v>
      </c>
      <c r="B301" s="7" t="s">
        <v>1055</v>
      </c>
      <c r="C301" s="7" t="s">
        <v>498</v>
      </c>
      <c r="D301" s="7" t="s">
        <v>251</v>
      </c>
      <c r="E301" s="7" t="n">
        <v>4</v>
      </c>
      <c r="F301" s="7" t="s">
        <v>759</v>
      </c>
    </row>
    <row r="302" customFormat="false" ht="15" hidden="false" customHeight="false" outlineLevel="0" collapsed="false">
      <c r="A302" s="7" t="s">
        <v>757</v>
      </c>
      <c r="B302" s="7" t="s">
        <v>1056</v>
      </c>
      <c r="C302" s="7" t="s">
        <v>500</v>
      </c>
      <c r="D302" s="7" t="s">
        <v>251</v>
      </c>
      <c r="E302" s="7" t="n">
        <v>4</v>
      </c>
      <c r="F302" s="7" t="s">
        <v>759</v>
      </c>
    </row>
    <row r="303" customFormat="false" ht="15" hidden="false" customHeight="false" outlineLevel="0" collapsed="false">
      <c r="A303" s="7" t="s">
        <v>757</v>
      </c>
      <c r="B303" s="7" t="s">
        <v>1057</v>
      </c>
      <c r="C303" s="7" t="s">
        <v>500</v>
      </c>
      <c r="D303" s="7" t="s">
        <v>251</v>
      </c>
      <c r="E303" s="7" t="n">
        <v>8</v>
      </c>
      <c r="F303" s="7" t="s">
        <v>759</v>
      </c>
    </row>
    <row r="304" customFormat="false" ht="15" hidden="false" customHeight="false" outlineLevel="0" collapsed="false">
      <c r="A304" s="7" t="s">
        <v>757</v>
      </c>
      <c r="B304" s="7" t="s">
        <v>1058</v>
      </c>
      <c r="C304" s="7" t="s">
        <v>500</v>
      </c>
      <c r="D304" s="7" t="s">
        <v>251</v>
      </c>
      <c r="E304" s="7" t="n">
        <v>4</v>
      </c>
      <c r="F304" s="7" t="s">
        <v>759</v>
      </c>
    </row>
    <row r="305" customFormat="false" ht="23.85" hidden="false" customHeight="false" outlineLevel="0" collapsed="false">
      <c r="A305" s="7" t="s">
        <v>757</v>
      </c>
      <c r="B305" s="7" t="s">
        <v>1059</v>
      </c>
      <c r="C305" s="7" t="s">
        <v>502</v>
      </c>
      <c r="D305" s="7" t="s">
        <v>251</v>
      </c>
      <c r="E305" s="7" t="n">
        <v>4</v>
      </c>
      <c r="F305" s="7" t="s">
        <v>759</v>
      </c>
    </row>
    <row r="306" customFormat="false" ht="23.85" hidden="false" customHeight="false" outlineLevel="0" collapsed="false">
      <c r="A306" s="7" t="s">
        <v>757</v>
      </c>
      <c r="B306" s="7" t="s">
        <v>1060</v>
      </c>
      <c r="C306" s="7" t="s">
        <v>502</v>
      </c>
      <c r="D306" s="7" t="s">
        <v>251</v>
      </c>
      <c r="E306" s="7" t="n">
        <v>10</v>
      </c>
      <c r="F306" s="7" t="s">
        <v>759</v>
      </c>
    </row>
    <row r="307" customFormat="false" ht="23.85" hidden="false" customHeight="false" outlineLevel="0" collapsed="false">
      <c r="A307" s="7" t="s">
        <v>757</v>
      </c>
      <c r="B307" s="7" t="s">
        <v>1061</v>
      </c>
      <c r="C307" s="7" t="s">
        <v>502</v>
      </c>
      <c r="D307" s="7" t="s">
        <v>251</v>
      </c>
      <c r="E307" s="7" t="n">
        <v>4</v>
      </c>
      <c r="F307" s="7" t="s">
        <v>759</v>
      </c>
    </row>
    <row r="308" customFormat="false" ht="23.85" hidden="false" customHeight="false" outlineLevel="0" collapsed="false">
      <c r="A308" s="7" t="s">
        <v>757</v>
      </c>
      <c r="B308" s="7" t="s">
        <v>1062</v>
      </c>
      <c r="C308" s="7" t="s">
        <v>504</v>
      </c>
      <c r="D308" s="7" t="s">
        <v>254</v>
      </c>
      <c r="E308" s="7" t="n">
        <v>10</v>
      </c>
      <c r="F308" s="7" t="s">
        <v>759</v>
      </c>
    </row>
    <row r="309" customFormat="false" ht="23.85" hidden="false" customHeight="false" outlineLevel="0" collapsed="false">
      <c r="A309" s="7" t="s">
        <v>757</v>
      </c>
      <c r="B309" s="7" t="s">
        <v>1063</v>
      </c>
      <c r="C309" s="7" t="s">
        <v>504</v>
      </c>
      <c r="D309" s="7" t="s">
        <v>254</v>
      </c>
      <c r="E309" s="7" t="n">
        <v>4</v>
      </c>
      <c r="F309" s="7" t="s">
        <v>759</v>
      </c>
    </row>
    <row r="310" customFormat="false" ht="23.85" hidden="false" customHeight="false" outlineLevel="0" collapsed="false">
      <c r="A310" s="7" t="s">
        <v>757</v>
      </c>
      <c r="B310" s="7" t="s">
        <v>1064</v>
      </c>
      <c r="C310" s="7" t="s">
        <v>504</v>
      </c>
      <c r="D310" s="7" t="s">
        <v>254</v>
      </c>
      <c r="E310" s="7" t="n">
        <v>3</v>
      </c>
      <c r="F310" s="7" t="s">
        <v>759</v>
      </c>
    </row>
    <row r="311" customFormat="false" ht="15" hidden="false" customHeight="false" outlineLevel="0" collapsed="false">
      <c r="A311" s="7" t="s">
        <v>757</v>
      </c>
      <c r="B311" s="7" t="s">
        <v>1065</v>
      </c>
      <c r="C311" s="7" t="s">
        <v>506</v>
      </c>
      <c r="D311" s="7" t="s">
        <v>254</v>
      </c>
      <c r="E311" s="7" t="n">
        <v>10</v>
      </c>
      <c r="F311" s="7" t="s">
        <v>759</v>
      </c>
    </row>
    <row r="312" customFormat="false" ht="15" hidden="false" customHeight="false" outlineLevel="0" collapsed="false">
      <c r="A312" s="7" t="s">
        <v>757</v>
      </c>
      <c r="B312" s="7" t="s">
        <v>1066</v>
      </c>
      <c r="C312" s="7" t="s">
        <v>506</v>
      </c>
      <c r="D312" s="7" t="s">
        <v>254</v>
      </c>
      <c r="E312" s="7" t="n">
        <v>4</v>
      </c>
      <c r="F312" s="7" t="s">
        <v>759</v>
      </c>
    </row>
    <row r="313" customFormat="false" ht="15" hidden="false" customHeight="false" outlineLevel="0" collapsed="false">
      <c r="A313" s="7" t="s">
        <v>757</v>
      </c>
      <c r="B313" s="7" t="s">
        <v>1067</v>
      </c>
      <c r="C313" s="7" t="s">
        <v>506</v>
      </c>
      <c r="D313" s="7" t="s">
        <v>254</v>
      </c>
      <c r="E313" s="7" t="n">
        <v>3</v>
      </c>
      <c r="F313" s="7" t="s">
        <v>759</v>
      </c>
    </row>
    <row r="314" customFormat="false" ht="23.85" hidden="false" customHeight="false" outlineLevel="0" collapsed="false">
      <c r="A314" s="7" t="s">
        <v>757</v>
      </c>
      <c r="B314" s="7" t="s">
        <v>1068</v>
      </c>
      <c r="C314" s="7" t="s">
        <v>508</v>
      </c>
      <c r="D314" s="7" t="s">
        <v>258</v>
      </c>
      <c r="E314" s="7" t="n">
        <v>10</v>
      </c>
      <c r="F314" s="7" t="s">
        <v>759</v>
      </c>
    </row>
    <row r="315" customFormat="false" ht="23.85" hidden="false" customHeight="false" outlineLevel="0" collapsed="false">
      <c r="A315" s="7" t="s">
        <v>757</v>
      </c>
      <c r="B315" s="7" t="s">
        <v>1069</v>
      </c>
      <c r="C315" s="7" t="s">
        <v>508</v>
      </c>
      <c r="D315" s="7" t="s">
        <v>258</v>
      </c>
      <c r="E315" s="7" t="n">
        <v>4</v>
      </c>
      <c r="F315" s="7" t="s">
        <v>759</v>
      </c>
    </row>
    <row r="316" customFormat="false" ht="23.85" hidden="false" customHeight="false" outlineLevel="0" collapsed="false">
      <c r="A316" s="7" t="s">
        <v>757</v>
      </c>
      <c r="B316" s="7" t="s">
        <v>1070</v>
      </c>
      <c r="C316" s="7" t="s">
        <v>508</v>
      </c>
      <c r="D316" s="7" t="s">
        <v>258</v>
      </c>
      <c r="E316" s="7" t="n">
        <v>3</v>
      </c>
      <c r="F316" s="7" t="s">
        <v>759</v>
      </c>
    </row>
    <row r="317" customFormat="false" ht="15" hidden="false" customHeight="false" outlineLevel="0" collapsed="false">
      <c r="A317" s="7" t="s">
        <v>757</v>
      </c>
      <c r="B317" s="7" t="s">
        <v>1071</v>
      </c>
      <c r="C317" s="7" t="s">
        <v>510</v>
      </c>
      <c r="D317" s="7" t="s">
        <v>258</v>
      </c>
      <c r="E317" s="7" t="n">
        <v>10</v>
      </c>
      <c r="F317" s="7" t="s">
        <v>759</v>
      </c>
    </row>
    <row r="318" customFormat="false" ht="15" hidden="false" customHeight="false" outlineLevel="0" collapsed="false">
      <c r="A318" s="7" t="s">
        <v>757</v>
      </c>
      <c r="B318" s="7" t="s">
        <v>1072</v>
      </c>
      <c r="C318" s="7" t="s">
        <v>510</v>
      </c>
      <c r="D318" s="7" t="s">
        <v>258</v>
      </c>
      <c r="E318" s="7" t="n">
        <v>4</v>
      </c>
      <c r="F318" s="7" t="s">
        <v>759</v>
      </c>
    </row>
    <row r="319" customFormat="false" ht="15" hidden="false" customHeight="false" outlineLevel="0" collapsed="false">
      <c r="A319" s="7" t="s">
        <v>757</v>
      </c>
      <c r="B319" s="7" t="s">
        <v>1073</v>
      </c>
      <c r="C319" s="7" t="s">
        <v>510</v>
      </c>
      <c r="D319" s="7" t="s">
        <v>258</v>
      </c>
      <c r="E319" s="7" t="n">
        <v>3</v>
      </c>
      <c r="F319" s="7" t="s">
        <v>759</v>
      </c>
    </row>
    <row r="320" customFormat="false" ht="23.85" hidden="false" customHeight="false" outlineLevel="0" collapsed="false">
      <c r="A320" s="7" t="s">
        <v>757</v>
      </c>
      <c r="B320" s="7" t="s">
        <v>1074</v>
      </c>
      <c r="C320" s="7" t="s">
        <v>512</v>
      </c>
      <c r="D320" s="7" t="s">
        <v>254</v>
      </c>
      <c r="E320" s="7" t="n">
        <v>10</v>
      </c>
      <c r="F320" s="7" t="s">
        <v>759</v>
      </c>
    </row>
    <row r="321" customFormat="false" ht="23.85" hidden="false" customHeight="false" outlineLevel="0" collapsed="false">
      <c r="A321" s="7" t="s">
        <v>757</v>
      </c>
      <c r="B321" s="7" t="s">
        <v>1075</v>
      </c>
      <c r="C321" s="7" t="s">
        <v>512</v>
      </c>
      <c r="D321" s="7" t="s">
        <v>254</v>
      </c>
      <c r="E321" s="7" t="n">
        <v>4</v>
      </c>
      <c r="F321" s="7" t="s">
        <v>759</v>
      </c>
    </row>
    <row r="322" customFormat="false" ht="15" hidden="false" customHeight="false" outlineLevel="0" collapsed="false">
      <c r="A322" s="7" t="s">
        <v>757</v>
      </c>
      <c r="B322" s="7" t="s">
        <v>1076</v>
      </c>
      <c r="C322" s="7" t="s">
        <v>512</v>
      </c>
      <c r="D322" s="7" t="s">
        <v>254</v>
      </c>
      <c r="E322" s="7" t="n">
        <v>3</v>
      </c>
      <c r="F322" s="7" t="s">
        <v>759</v>
      </c>
    </row>
    <row r="323" customFormat="false" ht="23.85" hidden="false" customHeight="false" outlineLevel="0" collapsed="false">
      <c r="A323" s="7" t="s">
        <v>757</v>
      </c>
      <c r="B323" s="7" t="s">
        <v>1077</v>
      </c>
      <c r="C323" s="7" t="s">
        <v>514</v>
      </c>
      <c r="D323" s="7" t="s">
        <v>258</v>
      </c>
      <c r="E323" s="7" t="n">
        <v>8</v>
      </c>
      <c r="F323" s="7" t="s">
        <v>759</v>
      </c>
    </row>
    <row r="324" customFormat="false" ht="23.85" hidden="false" customHeight="false" outlineLevel="0" collapsed="false">
      <c r="A324" s="7" t="s">
        <v>757</v>
      </c>
      <c r="B324" s="7" t="s">
        <v>1078</v>
      </c>
      <c r="C324" s="7" t="s">
        <v>514</v>
      </c>
      <c r="D324" s="7" t="s">
        <v>258</v>
      </c>
      <c r="E324" s="7" t="n">
        <v>4</v>
      </c>
      <c r="F324" s="7" t="s">
        <v>759</v>
      </c>
    </row>
    <row r="325" customFormat="false" ht="15" hidden="false" customHeight="false" outlineLevel="0" collapsed="false">
      <c r="A325" s="7" t="s">
        <v>757</v>
      </c>
      <c r="B325" s="7" t="s">
        <v>1079</v>
      </c>
      <c r="C325" s="7" t="s">
        <v>514</v>
      </c>
      <c r="D325" s="7" t="s">
        <v>258</v>
      </c>
      <c r="E325" s="7" t="n">
        <v>3</v>
      </c>
      <c r="F325" s="7" t="s">
        <v>759</v>
      </c>
    </row>
    <row r="326" customFormat="false" ht="15" hidden="false" customHeight="false" outlineLevel="0" collapsed="false">
      <c r="A326" s="7" t="s">
        <v>757</v>
      </c>
      <c r="B326" s="7" t="s">
        <v>1080</v>
      </c>
      <c r="C326" s="7" t="s">
        <v>516</v>
      </c>
      <c r="D326" s="7" t="s">
        <v>231</v>
      </c>
      <c r="E326" s="7" t="n">
        <v>4</v>
      </c>
      <c r="F326" s="7" t="s">
        <v>759</v>
      </c>
    </row>
    <row r="327" customFormat="false" ht="15" hidden="false" customHeight="false" outlineLevel="0" collapsed="false">
      <c r="A327" s="7" t="s">
        <v>757</v>
      </c>
      <c r="B327" s="7" t="s">
        <v>1081</v>
      </c>
      <c r="C327" s="7" t="s">
        <v>516</v>
      </c>
      <c r="D327" s="7" t="s">
        <v>231</v>
      </c>
      <c r="E327" s="7" t="n">
        <v>16</v>
      </c>
      <c r="F327" s="7" t="s">
        <v>759</v>
      </c>
    </row>
    <row r="328" customFormat="false" ht="15" hidden="false" customHeight="false" outlineLevel="0" collapsed="false">
      <c r="A328" s="7" t="s">
        <v>757</v>
      </c>
      <c r="B328" s="7" t="s">
        <v>1082</v>
      </c>
      <c r="C328" s="7" t="s">
        <v>518</v>
      </c>
      <c r="D328" s="7" t="s">
        <v>231</v>
      </c>
      <c r="E328" s="7" t="n">
        <v>4</v>
      </c>
      <c r="F328" s="7" t="s">
        <v>759</v>
      </c>
    </row>
    <row r="329" customFormat="false" ht="15" hidden="false" customHeight="false" outlineLevel="0" collapsed="false">
      <c r="A329" s="7" t="s">
        <v>757</v>
      </c>
      <c r="B329" s="7" t="s">
        <v>1083</v>
      </c>
      <c r="C329" s="7" t="s">
        <v>518</v>
      </c>
      <c r="D329" s="7" t="s">
        <v>231</v>
      </c>
      <c r="E329" s="7" t="n">
        <v>10</v>
      </c>
      <c r="F329" s="7" t="s">
        <v>759</v>
      </c>
    </row>
    <row r="330" customFormat="false" ht="15" hidden="false" customHeight="false" outlineLevel="0" collapsed="false">
      <c r="A330" s="7" t="s">
        <v>757</v>
      </c>
      <c r="B330" s="7" t="s">
        <v>1084</v>
      </c>
      <c r="C330" s="7" t="s">
        <v>520</v>
      </c>
      <c r="D330" s="7" t="s">
        <v>278</v>
      </c>
      <c r="E330" s="7" t="n">
        <v>6</v>
      </c>
      <c r="F330" s="7" t="s">
        <v>759</v>
      </c>
    </row>
    <row r="331" customFormat="false" ht="15" hidden="false" customHeight="false" outlineLevel="0" collapsed="false">
      <c r="A331" s="7" t="s">
        <v>757</v>
      </c>
      <c r="B331" s="7" t="s">
        <v>1085</v>
      </c>
      <c r="C331" s="7" t="s">
        <v>520</v>
      </c>
      <c r="D331" s="7" t="s">
        <v>278</v>
      </c>
      <c r="E331" s="7" t="n">
        <v>2</v>
      </c>
      <c r="F331" s="7" t="s">
        <v>759</v>
      </c>
    </row>
    <row r="332" customFormat="false" ht="15" hidden="false" customHeight="false" outlineLevel="0" collapsed="false">
      <c r="A332" s="7" t="s">
        <v>757</v>
      </c>
      <c r="B332" s="7" t="s">
        <v>1086</v>
      </c>
      <c r="C332" s="7" t="s">
        <v>522</v>
      </c>
      <c r="D332" s="7" t="s">
        <v>246</v>
      </c>
      <c r="E332" s="7" t="n">
        <v>4</v>
      </c>
      <c r="F332" s="7" t="s">
        <v>759</v>
      </c>
    </row>
    <row r="333" customFormat="false" ht="15" hidden="false" customHeight="false" outlineLevel="0" collapsed="false">
      <c r="A333" s="7" t="s">
        <v>757</v>
      </c>
      <c r="B333" s="7" t="s">
        <v>1087</v>
      </c>
      <c r="C333" s="7" t="s">
        <v>522</v>
      </c>
      <c r="D333" s="7" t="s">
        <v>246</v>
      </c>
      <c r="E333" s="7" t="n">
        <v>10</v>
      </c>
      <c r="F333" s="7" t="s">
        <v>759</v>
      </c>
    </row>
    <row r="334" customFormat="false" ht="23.85" hidden="false" customHeight="false" outlineLevel="0" collapsed="false">
      <c r="A334" s="7" t="s">
        <v>757</v>
      </c>
      <c r="B334" s="7" t="s">
        <v>1088</v>
      </c>
      <c r="C334" s="7" t="s">
        <v>522</v>
      </c>
      <c r="D334" s="7" t="s">
        <v>246</v>
      </c>
      <c r="E334" s="7" t="n">
        <v>4</v>
      </c>
      <c r="F334" s="7" t="s">
        <v>759</v>
      </c>
    </row>
    <row r="335" customFormat="false" ht="15" hidden="false" customHeight="false" outlineLevel="0" collapsed="false">
      <c r="A335" s="7" t="s">
        <v>757</v>
      </c>
      <c r="B335" s="7" t="s">
        <v>1089</v>
      </c>
      <c r="C335" s="7" t="s">
        <v>525</v>
      </c>
      <c r="D335" s="7" t="s">
        <v>246</v>
      </c>
      <c r="E335" s="7" t="n">
        <v>4</v>
      </c>
      <c r="F335" s="7" t="s">
        <v>759</v>
      </c>
    </row>
    <row r="336" customFormat="false" ht="15" hidden="false" customHeight="false" outlineLevel="0" collapsed="false">
      <c r="A336" s="7" t="s">
        <v>757</v>
      </c>
      <c r="B336" s="7" t="s">
        <v>1090</v>
      </c>
      <c r="C336" s="7" t="s">
        <v>525</v>
      </c>
      <c r="D336" s="7" t="s">
        <v>246</v>
      </c>
      <c r="E336" s="7" t="n">
        <v>10</v>
      </c>
      <c r="F336" s="7" t="s">
        <v>759</v>
      </c>
    </row>
    <row r="337" customFormat="false" ht="15" hidden="false" customHeight="false" outlineLevel="0" collapsed="false">
      <c r="A337" s="7" t="s">
        <v>757</v>
      </c>
      <c r="B337" s="7" t="s">
        <v>1091</v>
      </c>
      <c r="C337" s="7" t="s">
        <v>525</v>
      </c>
      <c r="D337" s="7" t="s">
        <v>246</v>
      </c>
      <c r="E337" s="7" t="n">
        <v>4</v>
      </c>
      <c r="F337" s="7" t="s">
        <v>759</v>
      </c>
    </row>
    <row r="338" customFormat="false" ht="15" hidden="false" customHeight="false" outlineLevel="0" collapsed="false">
      <c r="A338" s="7" t="s">
        <v>757</v>
      </c>
      <c r="B338" s="7" t="s">
        <v>1092</v>
      </c>
      <c r="C338" s="7" t="s">
        <v>527</v>
      </c>
      <c r="D338" s="7" t="s">
        <v>246</v>
      </c>
      <c r="E338" s="7" t="n">
        <v>4</v>
      </c>
      <c r="F338" s="7" t="s">
        <v>759</v>
      </c>
    </row>
    <row r="339" customFormat="false" ht="15" hidden="false" customHeight="false" outlineLevel="0" collapsed="false">
      <c r="A339" s="7" t="s">
        <v>757</v>
      </c>
      <c r="B339" s="7" t="s">
        <v>1093</v>
      </c>
      <c r="C339" s="7" t="s">
        <v>527</v>
      </c>
      <c r="D339" s="7" t="s">
        <v>246</v>
      </c>
      <c r="E339" s="7" t="n">
        <v>10</v>
      </c>
      <c r="F339" s="7" t="s">
        <v>759</v>
      </c>
    </row>
    <row r="340" customFormat="false" ht="15" hidden="false" customHeight="false" outlineLevel="0" collapsed="false">
      <c r="A340" s="7" t="s">
        <v>757</v>
      </c>
      <c r="B340" s="7" t="s">
        <v>1094</v>
      </c>
      <c r="C340" s="7" t="s">
        <v>527</v>
      </c>
      <c r="D340" s="7" t="s">
        <v>246</v>
      </c>
      <c r="E340" s="7" t="n">
        <v>4</v>
      </c>
      <c r="F340" s="7" t="s">
        <v>759</v>
      </c>
    </row>
    <row r="341" customFormat="false" ht="15" hidden="false" customHeight="false" outlineLevel="0" collapsed="false">
      <c r="A341" s="7" t="s">
        <v>757</v>
      </c>
      <c r="B341" s="7" t="s">
        <v>1095</v>
      </c>
      <c r="C341" s="7" t="s">
        <v>529</v>
      </c>
      <c r="D341" s="7" t="s">
        <v>251</v>
      </c>
      <c r="E341" s="7" t="n">
        <v>4</v>
      </c>
      <c r="F341" s="7" t="s">
        <v>759</v>
      </c>
    </row>
    <row r="342" customFormat="false" ht="15" hidden="false" customHeight="false" outlineLevel="0" collapsed="false">
      <c r="A342" s="7" t="s">
        <v>757</v>
      </c>
      <c r="B342" s="7" t="s">
        <v>1096</v>
      </c>
      <c r="C342" s="7" t="s">
        <v>529</v>
      </c>
      <c r="D342" s="7" t="s">
        <v>251</v>
      </c>
      <c r="E342" s="7" t="n">
        <v>8</v>
      </c>
      <c r="F342" s="7" t="s">
        <v>759</v>
      </c>
    </row>
    <row r="343" customFormat="false" ht="15" hidden="false" customHeight="false" outlineLevel="0" collapsed="false">
      <c r="A343" s="7" t="s">
        <v>757</v>
      </c>
      <c r="B343" s="7" t="s">
        <v>1097</v>
      </c>
      <c r="C343" s="7" t="s">
        <v>529</v>
      </c>
      <c r="D343" s="7" t="s">
        <v>251</v>
      </c>
      <c r="E343" s="7" t="n">
        <v>4</v>
      </c>
      <c r="F343" s="7" t="s">
        <v>759</v>
      </c>
    </row>
    <row r="344" customFormat="false" ht="15" hidden="false" customHeight="false" outlineLevel="0" collapsed="false">
      <c r="A344" s="7" t="s">
        <v>757</v>
      </c>
      <c r="B344" s="7" t="s">
        <v>1098</v>
      </c>
      <c r="C344" s="7" t="s">
        <v>531</v>
      </c>
      <c r="D344" s="7" t="s">
        <v>254</v>
      </c>
      <c r="E344" s="7" t="n">
        <v>10</v>
      </c>
      <c r="F344" s="7" t="s">
        <v>759</v>
      </c>
    </row>
    <row r="345" customFormat="false" ht="15" hidden="false" customHeight="false" outlineLevel="0" collapsed="false">
      <c r="A345" s="7" t="s">
        <v>757</v>
      </c>
      <c r="B345" s="7" t="s">
        <v>1099</v>
      </c>
      <c r="C345" s="7" t="s">
        <v>531</v>
      </c>
      <c r="D345" s="7" t="s">
        <v>254</v>
      </c>
      <c r="E345" s="7" t="n">
        <v>4</v>
      </c>
      <c r="F345" s="7" t="s">
        <v>759</v>
      </c>
    </row>
    <row r="346" customFormat="false" ht="15" hidden="false" customHeight="false" outlineLevel="0" collapsed="false">
      <c r="A346" s="7" t="s">
        <v>757</v>
      </c>
      <c r="B346" s="7" t="s">
        <v>1100</v>
      </c>
      <c r="C346" s="7" t="s">
        <v>531</v>
      </c>
      <c r="D346" s="7" t="s">
        <v>254</v>
      </c>
      <c r="E346" s="7" t="n">
        <v>3</v>
      </c>
      <c r="F346" s="7" t="s">
        <v>759</v>
      </c>
    </row>
    <row r="347" customFormat="false" ht="15" hidden="false" customHeight="false" outlineLevel="0" collapsed="false">
      <c r="A347" s="7" t="s">
        <v>757</v>
      </c>
      <c r="B347" s="7" t="s">
        <v>1101</v>
      </c>
      <c r="C347" s="7" t="s">
        <v>533</v>
      </c>
      <c r="D347" s="7" t="s">
        <v>254</v>
      </c>
      <c r="E347" s="7" t="n">
        <v>16</v>
      </c>
      <c r="F347" s="7" t="s">
        <v>759</v>
      </c>
    </row>
    <row r="348" customFormat="false" ht="15" hidden="false" customHeight="false" outlineLevel="0" collapsed="false">
      <c r="A348" s="7" t="s">
        <v>757</v>
      </c>
      <c r="B348" s="7" t="s">
        <v>1102</v>
      </c>
      <c r="C348" s="7" t="s">
        <v>533</v>
      </c>
      <c r="D348" s="7" t="s">
        <v>254</v>
      </c>
      <c r="E348" s="7" t="n">
        <v>4</v>
      </c>
      <c r="F348" s="7" t="s">
        <v>759</v>
      </c>
    </row>
    <row r="349" customFormat="false" ht="15" hidden="false" customHeight="false" outlineLevel="0" collapsed="false">
      <c r="A349" s="7" t="s">
        <v>757</v>
      </c>
      <c r="B349" s="7" t="s">
        <v>1103</v>
      </c>
      <c r="C349" s="7" t="s">
        <v>533</v>
      </c>
      <c r="D349" s="7" t="s">
        <v>254</v>
      </c>
      <c r="E349" s="7" t="n">
        <v>3</v>
      </c>
      <c r="F349" s="7" t="s">
        <v>759</v>
      </c>
    </row>
    <row r="350" customFormat="false" ht="15" hidden="false" customHeight="false" outlineLevel="0" collapsed="false">
      <c r="A350" s="7" t="s">
        <v>757</v>
      </c>
      <c r="B350" s="7" t="s">
        <v>1104</v>
      </c>
      <c r="C350" s="7" t="s">
        <v>535</v>
      </c>
      <c r="D350" s="7" t="s">
        <v>258</v>
      </c>
      <c r="E350" s="7" t="n">
        <v>10</v>
      </c>
      <c r="F350" s="7" t="s">
        <v>759</v>
      </c>
    </row>
    <row r="351" customFormat="false" ht="15" hidden="false" customHeight="false" outlineLevel="0" collapsed="false">
      <c r="A351" s="7" t="s">
        <v>757</v>
      </c>
      <c r="B351" s="7" t="s">
        <v>1105</v>
      </c>
      <c r="C351" s="7" t="s">
        <v>535</v>
      </c>
      <c r="D351" s="7" t="s">
        <v>258</v>
      </c>
      <c r="E351" s="7" t="n">
        <v>4</v>
      </c>
      <c r="F351" s="7" t="s">
        <v>759</v>
      </c>
    </row>
    <row r="352" customFormat="false" ht="15" hidden="false" customHeight="false" outlineLevel="0" collapsed="false">
      <c r="A352" s="7" t="s">
        <v>757</v>
      </c>
      <c r="B352" s="7" t="s">
        <v>1106</v>
      </c>
      <c r="C352" s="7" t="s">
        <v>535</v>
      </c>
      <c r="D352" s="7" t="s">
        <v>258</v>
      </c>
      <c r="E352" s="7" t="n">
        <v>3</v>
      </c>
      <c r="F352" s="7" t="s">
        <v>759</v>
      </c>
    </row>
    <row r="353" customFormat="false" ht="15" hidden="false" customHeight="false" outlineLevel="0" collapsed="false">
      <c r="A353" s="7" t="s">
        <v>757</v>
      </c>
      <c r="B353" s="7" t="s">
        <v>1107</v>
      </c>
      <c r="C353" s="7" t="s">
        <v>537</v>
      </c>
      <c r="D353" s="7" t="s">
        <v>231</v>
      </c>
      <c r="E353" s="7" t="n">
        <v>4</v>
      </c>
      <c r="F353" s="7" t="s">
        <v>759</v>
      </c>
    </row>
    <row r="354" customFormat="false" ht="15" hidden="false" customHeight="false" outlineLevel="0" collapsed="false">
      <c r="A354" s="7" t="s">
        <v>757</v>
      </c>
      <c r="B354" s="7" t="s">
        <v>1108</v>
      </c>
      <c r="C354" s="7" t="s">
        <v>537</v>
      </c>
      <c r="D354" s="7" t="s">
        <v>231</v>
      </c>
      <c r="E354" s="7" t="n">
        <v>10</v>
      </c>
      <c r="F354" s="7" t="s">
        <v>759</v>
      </c>
    </row>
    <row r="355" customFormat="false" ht="15" hidden="false" customHeight="false" outlineLevel="0" collapsed="false">
      <c r="A355" s="7" t="s">
        <v>757</v>
      </c>
      <c r="B355" s="7" t="s">
        <v>1109</v>
      </c>
      <c r="C355" s="7" t="s">
        <v>539</v>
      </c>
      <c r="D355" s="7" t="s">
        <v>231</v>
      </c>
      <c r="E355" s="7" t="n">
        <v>4</v>
      </c>
      <c r="F355" s="7" t="s">
        <v>759</v>
      </c>
    </row>
    <row r="356" customFormat="false" ht="15" hidden="false" customHeight="false" outlineLevel="0" collapsed="false">
      <c r="A356" s="7" t="s">
        <v>757</v>
      </c>
      <c r="B356" s="7" t="s">
        <v>1110</v>
      </c>
      <c r="C356" s="7" t="s">
        <v>539</v>
      </c>
      <c r="D356" s="7" t="s">
        <v>231</v>
      </c>
      <c r="E356" s="7" t="n">
        <v>8</v>
      </c>
      <c r="F356" s="7" t="s">
        <v>759</v>
      </c>
    </row>
    <row r="357" customFormat="false" ht="15" hidden="false" customHeight="false" outlineLevel="0" collapsed="false">
      <c r="A357" s="7" t="s">
        <v>757</v>
      </c>
      <c r="B357" s="7" t="s">
        <v>1111</v>
      </c>
      <c r="C357" s="7" t="s">
        <v>541</v>
      </c>
      <c r="D357" s="7" t="s">
        <v>246</v>
      </c>
      <c r="E357" s="7" t="n">
        <v>4</v>
      </c>
      <c r="F357" s="7" t="s">
        <v>759</v>
      </c>
    </row>
    <row r="358" customFormat="false" ht="15" hidden="false" customHeight="false" outlineLevel="0" collapsed="false">
      <c r="A358" s="7" t="s">
        <v>757</v>
      </c>
      <c r="B358" s="7" t="s">
        <v>1112</v>
      </c>
      <c r="C358" s="7" t="s">
        <v>541</v>
      </c>
      <c r="D358" s="7" t="s">
        <v>246</v>
      </c>
      <c r="E358" s="7" t="n">
        <v>10</v>
      </c>
      <c r="F358" s="7" t="s">
        <v>759</v>
      </c>
    </row>
    <row r="359" customFormat="false" ht="23.85" hidden="false" customHeight="false" outlineLevel="0" collapsed="false">
      <c r="A359" s="7" t="s">
        <v>757</v>
      </c>
      <c r="B359" s="7" t="s">
        <v>1113</v>
      </c>
      <c r="C359" s="7" t="s">
        <v>541</v>
      </c>
      <c r="D359" s="7" t="s">
        <v>246</v>
      </c>
      <c r="E359" s="7" t="n">
        <v>4</v>
      </c>
      <c r="F359" s="7" t="s">
        <v>759</v>
      </c>
    </row>
    <row r="360" customFormat="false" ht="15" hidden="false" customHeight="false" outlineLevel="0" collapsed="false">
      <c r="A360" s="7" t="s">
        <v>757</v>
      </c>
      <c r="B360" s="7" t="s">
        <v>1114</v>
      </c>
      <c r="C360" s="7" t="s">
        <v>544</v>
      </c>
      <c r="D360" s="7" t="s">
        <v>246</v>
      </c>
      <c r="E360" s="7" t="n">
        <v>4</v>
      </c>
      <c r="F360" s="7" t="s">
        <v>759</v>
      </c>
    </row>
    <row r="361" customFormat="false" ht="15" hidden="false" customHeight="false" outlineLevel="0" collapsed="false">
      <c r="A361" s="7" t="s">
        <v>757</v>
      </c>
      <c r="B361" s="7" t="s">
        <v>1115</v>
      </c>
      <c r="C361" s="7" t="s">
        <v>544</v>
      </c>
      <c r="D361" s="7" t="s">
        <v>246</v>
      </c>
      <c r="E361" s="7" t="n">
        <v>10</v>
      </c>
      <c r="F361" s="7" t="s">
        <v>759</v>
      </c>
    </row>
    <row r="362" customFormat="false" ht="15" hidden="false" customHeight="false" outlineLevel="0" collapsed="false">
      <c r="A362" s="7" t="s">
        <v>757</v>
      </c>
      <c r="B362" s="7" t="s">
        <v>1116</v>
      </c>
      <c r="C362" s="7" t="s">
        <v>544</v>
      </c>
      <c r="D362" s="7" t="s">
        <v>246</v>
      </c>
      <c r="E362" s="7" t="n">
        <v>4</v>
      </c>
      <c r="F362" s="7" t="s">
        <v>759</v>
      </c>
    </row>
    <row r="363" customFormat="false" ht="15" hidden="false" customHeight="false" outlineLevel="0" collapsed="false">
      <c r="A363" s="7" t="s">
        <v>757</v>
      </c>
      <c r="B363" s="7" t="s">
        <v>1117</v>
      </c>
      <c r="C363" s="7" t="s">
        <v>546</v>
      </c>
      <c r="D363" s="7" t="s">
        <v>251</v>
      </c>
      <c r="E363" s="7" t="n">
        <v>4</v>
      </c>
      <c r="F363" s="7" t="s">
        <v>759</v>
      </c>
    </row>
    <row r="364" customFormat="false" ht="15" hidden="false" customHeight="false" outlineLevel="0" collapsed="false">
      <c r="A364" s="7" t="s">
        <v>757</v>
      </c>
      <c r="B364" s="7" t="s">
        <v>1118</v>
      </c>
      <c r="C364" s="7" t="s">
        <v>546</v>
      </c>
      <c r="D364" s="7" t="s">
        <v>251</v>
      </c>
      <c r="E364" s="7" t="n">
        <v>8</v>
      </c>
      <c r="F364" s="7" t="s">
        <v>759</v>
      </c>
    </row>
    <row r="365" customFormat="false" ht="15" hidden="false" customHeight="false" outlineLevel="0" collapsed="false">
      <c r="A365" s="7" t="s">
        <v>757</v>
      </c>
      <c r="B365" s="7" t="s">
        <v>1119</v>
      </c>
      <c r="C365" s="7" t="s">
        <v>546</v>
      </c>
      <c r="D365" s="7" t="s">
        <v>251</v>
      </c>
      <c r="E365" s="7" t="n">
        <v>4</v>
      </c>
      <c r="F365" s="7" t="s">
        <v>759</v>
      </c>
    </row>
    <row r="366" customFormat="false" ht="15" hidden="false" customHeight="false" outlineLevel="0" collapsed="false">
      <c r="A366" s="7" t="s">
        <v>757</v>
      </c>
      <c r="B366" s="7" t="s">
        <v>1120</v>
      </c>
      <c r="C366" s="7" t="s">
        <v>548</v>
      </c>
      <c r="D366" s="7" t="s">
        <v>251</v>
      </c>
      <c r="E366" s="7" t="n">
        <v>4</v>
      </c>
      <c r="F366" s="7" t="s">
        <v>759</v>
      </c>
    </row>
    <row r="367" customFormat="false" ht="15" hidden="false" customHeight="false" outlineLevel="0" collapsed="false">
      <c r="A367" s="7" t="s">
        <v>757</v>
      </c>
      <c r="B367" s="7" t="s">
        <v>1121</v>
      </c>
      <c r="C367" s="7" t="s">
        <v>548</v>
      </c>
      <c r="D367" s="7" t="s">
        <v>251</v>
      </c>
      <c r="E367" s="7" t="n">
        <v>8</v>
      </c>
      <c r="F367" s="7" t="s">
        <v>759</v>
      </c>
    </row>
    <row r="368" customFormat="false" ht="15" hidden="false" customHeight="false" outlineLevel="0" collapsed="false">
      <c r="A368" s="7" t="s">
        <v>757</v>
      </c>
      <c r="B368" s="7" t="s">
        <v>1122</v>
      </c>
      <c r="C368" s="7" t="s">
        <v>548</v>
      </c>
      <c r="D368" s="7" t="s">
        <v>251</v>
      </c>
      <c r="E368" s="7" t="n">
        <v>4</v>
      </c>
      <c r="F368" s="7" t="s">
        <v>759</v>
      </c>
    </row>
    <row r="369" customFormat="false" ht="23.85" hidden="false" customHeight="false" outlineLevel="0" collapsed="false">
      <c r="A369" s="7" t="s">
        <v>757</v>
      </c>
      <c r="B369" s="7" t="s">
        <v>1123</v>
      </c>
      <c r="C369" s="7" t="s">
        <v>550</v>
      </c>
      <c r="D369" s="7" t="s">
        <v>258</v>
      </c>
      <c r="E369" s="7" t="n">
        <v>16</v>
      </c>
      <c r="F369" s="7" t="s">
        <v>759</v>
      </c>
    </row>
    <row r="370" customFormat="false" ht="23.85" hidden="false" customHeight="false" outlineLevel="0" collapsed="false">
      <c r="A370" s="7" t="s">
        <v>757</v>
      </c>
      <c r="B370" s="7" t="s">
        <v>1124</v>
      </c>
      <c r="C370" s="7" t="s">
        <v>550</v>
      </c>
      <c r="D370" s="7" t="s">
        <v>258</v>
      </c>
      <c r="E370" s="7" t="n">
        <v>4</v>
      </c>
      <c r="F370" s="7" t="s">
        <v>759</v>
      </c>
    </row>
    <row r="371" customFormat="false" ht="15" hidden="false" customHeight="false" outlineLevel="0" collapsed="false">
      <c r="A371" s="7" t="s">
        <v>757</v>
      </c>
      <c r="B371" s="7" t="s">
        <v>1125</v>
      </c>
      <c r="C371" s="7" t="s">
        <v>550</v>
      </c>
      <c r="D371" s="7" t="s">
        <v>258</v>
      </c>
      <c r="E371" s="7" t="n">
        <v>3</v>
      </c>
      <c r="F371" s="7" t="s">
        <v>759</v>
      </c>
    </row>
    <row r="372" customFormat="false" ht="15" hidden="false" customHeight="false" outlineLevel="0" collapsed="false">
      <c r="A372" s="7" t="s">
        <v>757</v>
      </c>
      <c r="B372" s="7" t="s">
        <v>1126</v>
      </c>
      <c r="C372" s="7" t="s">
        <v>552</v>
      </c>
      <c r="D372" s="7" t="s">
        <v>254</v>
      </c>
      <c r="E372" s="7" t="n">
        <v>16</v>
      </c>
      <c r="F372" s="7" t="s">
        <v>759</v>
      </c>
    </row>
    <row r="373" customFormat="false" ht="23.85" hidden="false" customHeight="false" outlineLevel="0" collapsed="false">
      <c r="A373" s="7" t="s">
        <v>757</v>
      </c>
      <c r="B373" s="7" t="s">
        <v>1127</v>
      </c>
      <c r="C373" s="7" t="s">
        <v>552</v>
      </c>
      <c r="D373" s="7" t="s">
        <v>254</v>
      </c>
      <c r="E373" s="7" t="n">
        <v>4</v>
      </c>
      <c r="F373" s="7" t="s">
        <v>759</v>
      </c>
    </row>
    <row r="374" customFormat="false" ht="15" hidden="false" customHeight="false" outlineLevel="0" collapsed="false">
      <c r="A374" s="7" t="s">
        <v>757</v>
      </c>
      <c r="B374" s="7" t="s">
        <v>1128</v>
      </c>
      <c r="C374" s="7" t="s">
        <v>552</v>
      </c>
      <c r="D374" s="7" t="s">
        <v>254</v>
      </c>
      <c r="E374" s="7" t="n">
        <v>3</v>
      </c>
      <c r="F374" s="7" t="s">
        <v>759</v>
      </c>
    </row>
    <row r="375" customFormat="false" ht="15" hidden="false" customHeight="false" outlineLevel="0" collapsed="false">
      <c r="A375" s="7" t="s">
        <v>757</v>
      </c>
      <c r="B375" s="7" t="s">
        <v>1129</v>
      </c>
      <c r="C375" s="7" t="s">
        <v>554</v>
      </c>
      <c r="D375" s="7" t="s">
        <v>254</v>
      </c>
      <c r="E375" s="7" t="n">
        <v>10</v>
      </c>
      <c r="F375" s="7" t="s">
        <v>759</v>
      </c>
    </row>
    <row r="376" customFormat="false" ht="15" hidden="false" customHeight="false" outlineLevel="0" collapsed="false">
      <c r="A376" s="7" t="s">
        <v>757</v>
      </c>
      <c r="B376" s="7" t="s">
        <v>1130</v>
      </c>
      <c r="C376" s="7" t="s">
        <v>554</v>
      </c>
      <c r="D376" s="7" t="s">
        <v>254</v>
      </c>
      <c r="E376" s="7" t="n">
        <v>4</v>
      </c>
      <c r="F376" s="7" t="s">
        <v>759</v>
      </c>
    </row>
    <row r="377" customFormat="false" ht="15" hidden="false" customHeight="false" outlineLevel="0" collapsed="false">
      <c r="A377" s="7" t="s">
        <v>757</v>
      </c>
      <c r="B377" s="7" t="s">
        <v>1131</v>
      </c>
      <c r="C377" s="7" t="s">
        <v>554</v>
      </c>
      <c r="D377" s="7" t="s">
        <v>254</v>
      </c>
      <c r="E377" s="7" t="n">
        <v>3</v>
      </c>
      <c r="F377" s="7" t="s">
        <v>759</v>
      </c>
    </row>
    <row r="378" customFormat="false" ht="15" hidden="false" customHeight="false" outlineLevel="0" collapsed="false">
      <c r="A378" s="7" t="s">
        <v>757</v>
      </c>
      <c r="B378" s="7" t="s">
        <v>1132</v>
      </c>
      <c r="C378" s="7" t="s">
        <v>556</v>
      </c>
      <c r="D378" s="7" t="s">
        <v>258</v>
      </c>
      <c r="E378" s="7" t="n">
        <v>10</v>
      </c>
      <c r="F378" s="7" t="s">
        <v>759</v>
      </c>
    </row>
    <row r="379" customFormat="false" ht="23.85" hidden="false" customHeight="false" outlineLevel="0" collapsed="false">
      <c r="A379" s="7" t="s">
        <v>757</v>
      </c>
      <c r="B379" s="7" t="s">
        <v>1133</v>
      </c>
      <c r="C379" s="7" t="s">
        <v>556</v>
      </c>
      <c r="D379" s="7" t="s">
        <v>258</v>
      </c>
      <c r="E379" s="7" t="n">
        <v>4</v>
      </c>
      <c r="F379" s="7" t="s">
        <v>759</v>
      </c>
    </row>
    <row r="380" customFormat="false" ht="15" hidden="false" customHeight="false" outlineLevel="0" collapsed="false">
      <c r="A380" s="7" t="s">
        <v>757</v>
      </c>
      <c r="B380" s="7" t="s">
        <v>1134</v>
      </c>
      <c r="C380" s="7" t="s">
        <v>556</v>
      </c>
      <c r="D380" s="7" t="s">
        <v>258</v>
      </c>
      <c r="E380" s="7" t="n">
        <v>3</v>
      </c>
      <c r="F380" s="7" t="s">
        <v>759</v>
      </c>
    </row>
    <row r="381" customFormat="false" ht="15" hidden="false" customHeight="false" outlineLevel="0" collapsed="false">
      <c r="A381" s="7" t="s">
        <v>757</v>
      </c>
      <c r="B381" s="7" t="s">
        <v>1135</v>
      </c>
      <c r="C381" s="7" t="s">
        <v>558</v>
      </c>
      <c r="D381" s="7" t="s">
        <v>231</v>
      </c>
      <c r="E381" s="7" t="n">
        <v>4</v>
      </c>
      <c r="F381" s="7" t="s">
        <v>759</v>
      </c>
    </row>
    <row r="382" customFormat="false" ht="15" hidden="false" customHeight="false" outlineLevel="0" collapsed="false">
      <c r="A382" s="7" t="s">
        <v>757</v>
      </c>
      <c r="B382" s="7" t="s">
        <v>1136</v>
      </c>
      <c r="C382" s="7" t="s">
        <v>558</v>
      </c>
      <c r="D382" s="7" t="s">
        <v>231</v>
      </c>
      <c r="E382" s="7" t="n">
        <v>6</v>
      </c>
      <c r="F382" s="7" t="s">
        <v>759</v>
      </c>
    </row>
    <row r="383" customFormat="false" ht="15" hidden="false" customHeight="false" outlineLevel="0" collapsed="false">
      <c r="A383" s="7" t="s">
        <v>757</v>
      </c>
      <c r="B383" s="7" t="s">
        <v>1137</v>
      </c>
      <c r="C383" s="7" t="s">
        <v>560</v>
      </c>
      <c r="D383" s="7" t="s">
        <v>246</v>
      </c>
      <c r="E383" s="7" t="n">
        <v>4</v>
      </c>
      <c r="F383" s="7" t="s">
        <v>759</v>
      </c>
    </row>
    <row r="384" customFormat="false" ht="15" hidden="false" customHeight="false" outlineLevel="0" collapsed="false">
      <c r="A384" s="7" t="s">
        <v>757</v>
      </c>
      <c r="B384" s="7" t="s">
        <v>1138</v>
      </c>
      <c r="C384" s="7" t="s">
        <v>560</v>
      </c>
      <c r="D384" s="7" t="s">
        <v>246</v>
      </c>
      <c r="E384" s="7" t="n">
        <v>10</v>
      </c>
      <c r="F384" s="7" t="s">
        <v>759</v>
      </c>
    </row>
    <row r="385" customFormat="false" ht="15" hidden="false" customHeight="false" outlineLevel="0" collapsed="false">
      <c r="A385" s="7" t="s">
        <v>757</v>
      </c>
      <c r="B385" s="7" t="s">
        <v>1139</v>
      </c>
      <c r="C385" s="7" t="s">
        <v>560</v>
      </c>
      <c r="D385" s="7" t="s">
        <v>246</v>
      </c>
      <c r="E385" s="7" t="n">
        <v>4</v>
      </c>
      <c r="F385" s="7" t="s">
        <v>759</v>
      </c>
    </row>
    <row r="386" customFormat="false" ht="15" hidden="false" customHeight="false" outlineLevel="0" collapsed="false">
      <c r="A386" s="7" t="s">
        <v>757</v>
      </c>
      <c r="B386" s="7" t="s">
        <v>1140</v>
      </c>
      <c r="C386" s="7" t="s">
        <v>563</v>
      </c>
      <c r="D386" s="7" t="s">
        <v>246</v>
      </c>
      <c r="E386" s="7" t="n">
        <v>4</v>
      </c>
      <c r="F386" s="7" t="s">
        <v>759</v>
      </c>
    </row>
    <row r="387" customFormat="false" ht="15" hidden="false" customHeight="false" outlineLevel="0" collapsed="false">
      <c r="A387" s="7" t="s">
        <v>757</v>
      </c>
      <c r="B387" s="7" t="s">
        <v>1141</v>
      </c>
      <c r="C387" s="7" t="s">
        <v>563</v>
      </c>
      <c r="D387" s="7" t="s">
        <v>246</v>
      </c>
      <c r="E387" s="7" t="n">
        <v>8</v>
      </c>
      <c r="F387" s="7" t="s">
        <v>759</v>
      </c>
    </row>
    <row r="388" customFormat="false" ht="15" hidden="false" customHeight="false" outlineLevel="0" collapsed="false">
      <c r="A388" s="7" t="s">
        <v>757</v>
      </c>
      <c r="B388" s="7" t="s">
        <v>1142</v>
      </c>
      <c r="C388" s="7" t="s">
        <v>563</v>
      </c>
      <c r="D388" s="7" t="s">
        <v>246</v>
      </c>
      <c r="E388" s="7" t="n">
        <v>4</v>
      </c>
      <c r="F388" s="7" t="s">
        <v>759</v>
      </c>
    </row>
    <row r="389" customFormat="false" ht="15" hidden="false" customHeight="false" outlineLevel="0" collapsed="false">
      <c r="A389" s="7" t="s">
        <v>757</v>
      </c>
      <c r="B389" s="7" t="s">
        <v>1143</v>
      </c>
      <c r="C389" s="7" t="s">
        <v>565</v>
      </c>
      <c r="D389" s="7" t="s">
        <v>251</v>
      </c>
      <c r="E389" s="7" t="n">
        <v>4</v>
      </c>
      <c r="F389" s="7" t="s">
        <v>759</v>
      </c>
    </row>
    <row r="390" customFormat="false" ht="15" hidden="false" customHeight="false" outlineLevel="0" collapsed="false">
      <c r="A390" s="7" t="s">
        <v>757</v>
      </c>
      <c r="B390" s="7" t="s">
        <v>1144</v>
      </c>
      <c r="C390" s="7" t="s">
        <v>565</v>
      </c>
      <c r="D390" s="7" t="s">
        <v>251</v>
      </c>
      <c r="E390" s="7" t="n">
        <v>10</v>
      </c>
      <c r="F390" s="7" t="s">
        <v>759</v>
      </c>
    </row>
    <row r="391" customFormat="false" ht="15" hidden="false" customHeight="false" outlineLevel="0" collapsed="false">
      <c r="A391" s="7" t="s">
        <v>757</v>
      </c>
      <c r="B391" s="7" t="s">
        <v>1145</v>
      </c>
      <c r="C391" s="7" t="s">
        <v>565</v>
      </c>
      <c r="D391" s="7" t="s">
        <v>251</v>
      </c>
      <c r="E391" s="7" t="n">
        <v>4</v>
      </c>
      <c r="F391" s="7" t="s">
        <v>759</v>
      </c>
    </row>
    <row r="392" customFormat="false" ht="15" hidden="false" customHeight="false" outlineLevel="0" collapsed="false">
      <c r="A392" s="7" t="s">
        <v>757</v>
      </c>
      <c r="B392" s="7" t="s">
        <v>1146</v>
      </c>
      <c r="C392" s="7" t="s">
        <v>567</v>
      </c>
      <c r="D392" s="7" t="s">
        <v>251</v>
      </c>
      <c r="E392" s="7" t="n">
        <v>4</v>
      </c>
      <c r="F392" s="7" t="s">
        <v>759</v>
      </c>
    </row>
    <row r="393" customFormat="false" ht="15" hidden="false" customHeight="false" outlineLevel="0" collapsed="false">
      <c r="A393" s="7" t="s">
        <v>757</v>
      </c>
      <c r="B393" s="7" t="s">
        <v>1147</v>
      </c>
      <c r="C393" s="7" t="s">
        <v>567</v>
      </c>
      <c r="D393" s="7" t="s">
        <v>251</v>
      </c>
      <c r="E393" s="7" t="n">
        <v>8</v>
      </c>
      <c r="F393" s="7" t="s">
        <v>759</v>
      </c>
    </row>
    <row r="394" customFormat="false" ht="15" hidden="false" customHeight="false" outlineLevel="0" collapsed="false">
      <c r="A394" s="7" t="s">
        <v>757</v>
      </c>
      <c r="B394" s="7" t="s">
        <v>1148</v>
      </c>
      <c r="C394" s="7" t="s">
        <v>567</v>
      </c>
      <c r="D394" s="7" t="s">
        <v>251</v>
      </c>
      <c r="E394" s="7" t="n">
        <v>4</v>
      </c>
      <c r="F394" s="7" t="s">
        <v>759</v>
      </c>
    </row>
    <row r="395" customFormat="false" ht="15" hidden="false" customHeight="false" outlineLevel="0" collapsed="false">
      <c r="A395" s="7" t="s">
        <v>757</v>
      </c>
      <c r="B395" s="7" t="s">
        <v>1149</v>
      </c>
      <c r="C395" s="7" t="s">
        <v>569</v>
      </c>
      <c r="D395" s="7" t="s">
        <v>246</v>
      </c>
      <c r="E395" s="7" t="n">
        <v>4</v>
      </c>
      <c r="F395" s="7" t="s">
        <v>759</v>
      </c>
    </row>
    <row r="396" customFormat="false" ht="15" hidden="false" customHeight="false" outlineLevel="0" collapsed="false">
      <c r="A396" s="7" t="s">
        <v>757</v>
      </c>
      <c r="B396" s="7" t="s">
        <v>1150</v>
      </c>
      <c r="C396" s="7" t="s">
        <v>569</v>
      </c>
      <c r="D396" s="7" t="s">
        <v>246</v>
      </c>
      <c r="E396" s="7" t="n">
        <v>10</v>
      </c>
      <c r="F396" s="7" t="s">
        <v>759</v>
      </c>
    </row>
    <row r="397" customFormat="false" ht="15" hidden="false" customHeight="false" outlineLevel="0" collapsed="false">
      <c r="A397" s="7" t="s">
        <v>757</v>
      </c>
      <c r="B397" s="7" t="s">
        <v>1151</v>
      </c>
      <c r="C397" s="7" t="s">
        <v>569</v>
      </c>
      <c r="D397" s="7" t="s">
        <v>246</v>
      </c>
      <c r="E397" s="7" t="n">
        <v>4</v>
      </c>
      <c r="F397" s="7" t="s">
        <v>759</v>
      </c>
    </row>
    <row r="398" customFormat="false" ht="23.85" hidden="false" customHeight="false" outlineLevel="0" collapsed="false">
      <c r="A398" s="7" t="s">
        <v>757</v>
      </c>
      <c r="B398" s="7" t="s">
        <v>1152</v>
      </c>
      <c r="C398" s="7" t="s">
        <v>571</v>
      </c>
      <c r="D398" s="7" t="s">
        <v>254</v>
      </c>
      <c r="E398" s="7" t="n">
        <v>16</v>
      </c>
      <c r="F398" s="7" t="s">
        <v>759</v>
      </c>
    </row>
    <row r="399" customFormat="false" ht="23.85" hidden="false" customHeight="false" outlineLevel="0" collapsed="false">
      <c r="A399" s="7" t="s">
        <v>757</v>
      </c>
      <c r="B399" s="7" t="s">
        <v>1153</v>
      </c>
      <c r="C399" s="7" t="s">
        <v>571</v>
      </c>
      <c r="D399" s="7" t="s">
        <v>254</v>
      </c>
      <c r="E399" s="7" t="n">
        <v>4</v>
      </c>
      <c r="F399" s="7" t="s">
        <v>759</v>
      </c>
    </row>
    <row r="400" customFormat="false" ht="15" hidden="false" customHeight="false" outlineLevel="0" collapsed="false">
      <c r="A400" s="7" t="s">
        <v>757</v>
      </c>
      <c r="B400" s="7" t="s">
        <v>1154</v>
      </c>
      <c r="C400" s="7" t="s">
        <v>571</v>
      </c>
      <c r="D400" s="7" t="s">
        <v>254</v>
      </c>
      <c r="E400" s="7" t="n">
        <v>3</v>
      </c>
      <c r="F400" s="7" t="s">
        <v>759</v>
      </c>
    </row>
    <row r="401" customFormat="false" ht="15" hidden="false" customHeight="false" outlineLevel="0" collapsed="false">
      <c r="A401" s="7" t="s">
        <v>757</v>
      </c>
      <c r="B401" s="7" t="s">
        <v>1155</v>
      </c>
      <c r="C401" s="7" t="s">
        <v>573</v>
      </c>
      <c r="D401" s="7" t="s">
        <v>254</v>
      </c>
      <c r="E401" s="7" t="n">
        <v>10</v>
      </c>
      <c r="F401" s="7" t="s">
        <v>759</v>
      </c>
    </row>
    <row r="402" customFormat="false" ht="15" hidden="false" customHeight="false" outlineLevel="0" collapsed="false">
      <c r="A402" s="7" t="s">
        <v>757</v>
      </c>
      <c r="B402" s="7" t="s">
        <v>1156</v>
      </c>
      <c r="C402" s="7" t="s">
        <v>573</v>
      </c>
      <c r="D402" s="7" t="s">
        <v>254</v>
      </c>
      <c r="E402" s="7" t="n">
        <v>4</v>
      </c>
      <c r="F402" s="7" t="s">
        <v>759</v>
      </c>
    </row>
    <row r="403" customFormat="false" ht="15" hidden="false" customHeight="false" outlineLevel="0" collapsed="false">
      <c r="A403" s="7" t="s">
        <v>757</v>
      </c>
      <c r="B403" s="7" t="s">
        <v>1157</v>
      </c>
      <c r="C403" s="7" t="s">
        <v>573</v>
      </c>
      <c r="D403" s="7" t="s">
        <v>254</v>
      </c>
      <c r="E403" s="7" t="n">
        <v>3</v>
      </c>
      <c r="F403" s="7" t="s">
        <v>759</v>
      </c>
    </row>
    <row r="404" customFormat="false" ht="15" hidden="false" customHeight="false" outlineLevel="0" collapsed="false">
      <c r="A404" s="7" t="s">
        <v>757</v>
      </c>
      <c r="B404" s="7" t="s">
        <v>1158</v>
      </c>
      <c r="C404" s="7" t="s">
        <v>575</v>
      </c>
      <c r="D404" s="7" t="s">
        <v>258</v>
      </c>
      <c r="E404" s="7" t="n">
        <v>10</v>
      </c>
      <c r="F404" s="7" t="s">
        <v>759</v>
      </c>
    </row>
    <row r="405" customFormat="false" ht="15" hidden="false" customHeight="false" outlineLevel="0" collapsed="false">
      <c r="A405" s="7" t="s">
        <v>757</v>
      </c>
      <c r="B405" s="7" t="s">
        <v>1159</v>
      </c>
      <c r="C405" s="7" t="s">
        <v>575</v>
      </c>
      <c r="D405" s="7" t="s">
        <v>258</v>
      </c>
      <c r="E405" s="7" t="n">
        <v>4</v>
      </c>
      <c r="F405" s="7" t="s">
        <v>759</v>
      </c>
    </row>
    <row r="406" customFormat="false" ht="15" hidden="false" customHeight="false" outlineLevel="0" collapsed="false">
      <c r="A406" s="7" t="s">
        <v>757</v>
      </c>
      <c r="B406" s="7" t="s">
        <v>1160</v>
      </c>
      <c r="C406" s="7" t="s">
        <v>575</v>
      </c>
      <c r="D406" s="7" t="s">
        <v>258</v>
      </c>
      <c r="E406" s="7" t="n">
        <v>3</v>
      </c>
      <c r="F406" s="7" t="s">
        <v>759</v>
      </c>
    </row>
    <row r="407" customFormat="false" ht="15" hidden="false" customHeight="false" outlineLevel="0" collapsed="false">
      <c r="A407" s="7" t="s">
        <v>757</v>
      </c>
      <c r="B407" s="7" t="s">
        <v>1161</v>
      </c>
      <c r="C407" s="7" t="s">
        <v>577</v>
      </c>
      <c r="D407" s="7" t="s">
        <v>258</v>
      </c>
      <c r="E407" s="7" t="n">
        <v>8</v>
      </c>
      <c r="F407" s="7" t="s">
        <v>759</v>
      </c>
    </row>
    <row r="408" customFormat="false" ht="15" hidden="false" customHeight="false" outlineLevel="0" collapsed="false">
      <c r="A408" s="7" t="s">
        <v>757</v>
      </c>
      <c r="B408" s="7" t="s">
        <v>1162</v>
      </c>
      <c r="C408" s="7" t="s">
        <v>577</v>
      </c>
      <c r="D408" s="7" t="s">
        <v>258</v>
      </c>
      <c r="E408" s="7" t="n">
        <v>4</v>
      </c>
      <c r="F408" s="7" t="s">
        <v>759</v>
      </c>
    </row>
    <row r="409" customFormat="false" ht="15" hidden="false" customHeight="false" outlineLevel="0" collapsed="false">
      <c r="A409" s="7" t="s">
        <v>757</v>
      </c>
      <c r="B409" s="7" t="s">
        <v>1163</v>
      </c>
      <c r="C409" s="7" t="s">
        <v>577</v>
      </c>
      <c r="D409" s="7" t="s">
        <v>258</v>
      </c>
      <c r="E409" s="7" t="n">
        <v>3</v>
      </c>
      <c r="F409" s="7" t="s">
        <v>759</v>
      </c>
    </row>
    <row r="410" customFormat="false" ht="15" hidden="false" customHeight="false" outlineLevel="0" collapsed="false">
      <c r="A410" s="7" t="s">
        <v>757</v>
      </c>
      <c r="B410" s="7" t="s">
        <v>1164</v>
      </c>
      <c r="C410" s="7" t="s">
        <v>579</v>
      </c>
      <c r="D410" s="7" t="s">
        <v>231</v>
      </c>
      <c r="E410" s="7" t="n">
        <v>4</v>
      </c>
      <c r="F410" s="7" t="s">
        <v>759</v>
      </c>
    </row>
    <row r="411" customFormat="false" ht="15" hidden="false" customHeight="false" outlineLevel="0" collapsed="false">
      <c r="A411" s="7" t="s">
        <v>757</v>
      </c>
      <c r="B411" s="7" t="s">
        <v>1165</v>
      </c>
      <c r="C411" s="7" t="s">
        <v>579</v>
      </c>
      <c r="D411" s="7" t="s">
        <v>231</v>
      </c>
      <c r="E411" s="7" t="n">
        <v>6</v>
      </c>
      <c r="F411" s="7" t="s">
        <v>759</v>
      </c>
    </row>
    <row r="412" customFormat="false" ht="15" hidden="false" customHeight="false" outlineLevel="0" collapsed="false">
      <c r="A412" s="7" t="s">
        <v>757</v>
      </c>
      <c r="B412" s="7" t="s">
        <v>1166</v>
      </c>
      <c r="C412" s="7" t="s">
        <v>581</v>
      </c>
      <c r="D412" s="7" t="s">
        <v>246</v>
      </c>
      <c r="E412" s="7" t="n">
        <v>4</v>
      </c>
      <c r="F412" s="7" t="s">
        <v>759</v>
      </c>
    </row>
    <row r="413" customFormat="false" ht="15" hidden="false" customHeight="false" outlineLevel="0" collapsed="false">
      <c r="A413" s="7" t="s">
        <v>757</v>
      </c>
      <c r="B413" s="7" t="s">
        <v>1167</v>
      </c>
      <c r="C413" s="7" t="s">
        <v>581</v>
      </c>
      <c r="D413" s="7" t="s">
        <v>246</v>
      </c>
      <c r="E413" s="7" t="n">
        <v>16</v>
      </c>
      <c r="F413" s="7" t="s">
        <v>759</v>
      </c>
    </row>
    <row r="414" customFormat="false" ht="23.85" hidden="false" customHeight="false" outlineLevel="0" collapsed="false">
      <c r="A414" s="7" t="s">
        <v>757</v>
      </c>
      <c r="B414" s="7" t="s">
        <v>1168</v>
      </c>
      <c r="C414" s="7" t="s">
        <v>581</v>
      </c>
      <c r="D414" s="7" t="s">
        <v>246</v>
      </c>
      <c r="E414" s="7" t="n">
        <v>4</v>
      </c>
      <c r="F414" s="7" t="s">
        <v>759</v>
      </c>
    </row>
    <row r="415" customFormat="false" ht="15" hidden="false" customHeight="false" outlineLevel="0" collapsed="false">
      <c r="A415" s="7" t="s">
        <v>757</v>
      </c>
      <c r="B415" s="7" t="s">
        <v>1169</v>
      </c>
      <c r="C415" s="7" t="s">
        <v>585</v>
      </c>
      <c r="D415" s="7" t="s">
        <v>251</v>
      </c>
      <c r="E415" s="7" t="n">
        <v>4</v>
      </c>
      <c r="F415" s="7" t="s">
        <v>759</v>
      </c>
    </row>
    <row r="416" customFormat="false" ht="15" hidden="false" customHeight="false" outlineLevel="0" collapsed="false">
      <c r="A416" s="7" t="s">
        <v>757</v>
      </c>
      <c r="B416" s="7" t="s">
        <v>1170</v>
      </c>
      <c r="C416" s="7" t="s">
        <v>585</v>
      </c>
      <c r="D416" s="7" t="s">
        <v>251</v>
      </c>
      <c r="E416" s="7" t="n">
        <v>16</v>
      </c>
      <c r="F416" s="7" t="s">
        <v>759</v>
      </c>
    </row>
    <row r="417" customFormat="false" ht="15" hidden="false" customHeight="false" outlineLevel="0" collapsed="false">
      <c r="A417" s="7" t="s">
        <v>757</v>
      </c>
      <c r="B417" s="7" t="s">
        <v>1171</v>
      </c>
      <c r="C417" s="7" t="s">
        <v>585</v>
      </c>
      <c r="D417" s="7" t="s">
        <v>251</v>
      </c>
      <c r="E417" s="7" t="n">
        <v>4</v>
      </c>
      <c r="F417" s="7" t="s">
        <v>759</v>
      </c>
    </row>
    <row r="418" customFormat="false" ht="15" hidden="false" customHeight="false" outlineLevel="0" collapsed="false">
      <c r="A418" s="7" t="s">
        <v>757</v>
      </c>
      <c r="B418" s="7" t="s">
        <v>1172</v>
      </c>
      <c r="C418" s="7" t="s">
        <v>587</v>
      </c>
      <c r="D418" s="7" t="s">
        <v>254</v>
      </c>
      <c r="E418" s="7" t="n">
        <v>10</v>
      </c>
      <c r="F418" s="7" t="s">
        <v>759</v>
      </c>
    </row>
    <row r="419" customFormat="false" ht="23.85" hidden="false" customHeight="false" outlineLevel="0" collapsed="false">
      <c r="A419" s="7" t="s">
        <v>757</v>
      </c>
      <c r="B419" s="7" t="s">
        <v>1173</v>
      </c>
      <c r="C419" s="7" t="s">
        <v>587</v>
      </c>
      <c r="D419" s="7" t="s">
        <v>254</v>
      </c>
      <c r="E419" s="7" t="n">
        <v>4</v>
      </c>
      <c r="F419" s="7" t="s">
        <v>759</v>
      </c>
    </row>
    <row r="420" customFormat="false" ht="15" hidden="false" customHeight="false" outlineLevel="0" collapsed="false">
      <c r="A420" s="7" t="s">
        <v>757</v>
      </c>
      <c r="B420" s="7" t="s">
        <v>1174</v>
      </c>
      <c r="C420" s="7" t="s">
        <v>587</v>
      </c>
      <c r="D420" s="7" t="s">
        <v>254</v>
      </c>
      <c r="E420" s="7" t="n">
        <v>3</v>
      </c>
      <c r="F420" s="7" t="s">
        <v>759</v>
      </c>
    </row>
    <row r="421" customFormat="false" ht="15" hidden="false" customHeight="false" outlineLevel="0" collapsed="false">
      <c r="A421" s="7" t="s">
        <v>757</v>
      </c>
      <c r="B421" s="7" t="s">
        <v>1175</v>
      </c>
      <c r="C421" s="7" t="s">
        <v>590</v>
      </c>
      <c r="D421" s="7" t="s">
        <v>254</v>
      </c>
      <c r="E421" s="7" t="n">
        <v>10</v>
      </c>
      <c r="F421" s="7" t="s">
        <v>759</v>
      </c>
    </row>
    <row r="422" customFormat="false" ht="15" hidden="false" customHeight="false" outlineLevel="0" collapsed="false">
      <c r="A422" s="7" t="s">
        <v>757</v>
      </c>
      <c r="B422" s="7" t="s">
        <v>1176</v>
      </c>
      <c r="C422" s="7" t="s">
        <v>590</v>
      </c>
      <c r="D422" s="7" t="s">
        <v>254</v>
      </c>
      <c r="E422" s="7" t="n">
        <v>4</v>
      </c>
      <c r="F422" s="7" t="s">
        <v>759</v>
      </c>
    </row>
    <row r="423" customFormat="false" ht="15" hidden="false" customHeight="false" outlineLevel="0" collapsed="false">
      <c r="A423" s="7" t="s">
        <v>757</v>
      </c>
      <c r="B423" s="7" t="s">
        <v>1177</v>
      </c>
      <c r="C423" s="7" t="s">
        <v>590</v>
      </c>
      <c r="D423" s="7" t="s">
        <v>254</v>
      </c>
      <c r="E423" s="7" t="n">
        <v>3</v>
      </c>
      <c r="F423" s="7" t="s">
        <v>759</v>
      </c>
    </row>
    <row r="424" customFormat="false" ht="15" hidden="false" customHeight="false" outlineLevel="0" collapsed="false">
      <c r="A424" s="7" t="s">
        <v>757</v>
      </c>
      <c r="B424" s="7" t="s">
        <v>1178</v>
      </c>
      <c r="C424" s="7" t="s">
        <v>592</v>
      </c>
      <c r="D424" s="7" t="s">
        <v>258</v>
      </c>
      <c r="E424" s="7" t="n">
        <v>10</v>
      </c>
      <c r="F424" s="7" t="s">
        <v>759</v>
      </c>
    </row>
    <row r="425" customFormat="false" ht="15" hidden="false" customHeight="false" outlineLevel="0" collapsed="false">
      <c r="A425" s="7" t="s">
        <v>757</v>
      </c>
      <c r="B425" s="7" t="s">
        <v>1179</v>
      </c>
      <c r="C425" s="7" t="s">
        <v>592</v>
      </c>
      <c r="D425" s="7" t="s">
        <v>258</v>
      </c>
      <c r="E425" s="7" t="n">
        <v>4</v>
      </c>
      <c r="F425" s="7" t="s">
        <v>759</v>
      </c>
    </row>
    <row r="426" customFormat="false" ht="15" hidden="false" customHeight="false" outlineLevel="0" collapsed="false">
      <c r="A426" s="7" t="s">
        <v>757</v>
      </c>
      <c r="B426" s="7" t="s">
        <v>1180</v>
      </c>
      <c r="C426" s="7" t="s">
        <v>592</v>
      </c>
      <c r="D426" s="7" t="s">
        <v>258</v>
      </c>
      <c r="E426" s="7" t="n">
        <v>3</v>
      </c>
      <c r="F426" s="7" t="s">
        <v>759</v>
      </c>
    </row>
    <row r="427" customFormat="false" ht="15" hidden="false" customHeight="false" outlineLevel="0" collapsed="false">
      <c r="A427" s="7" t="s">
        <v>757</v>
      </c>
      <c r="B427" s="7" t="s">
        <v>1181</v>
      </c>
      <c r="C427" s="7" t="s">
        <v>595</v>
      </c>
      <c r="D427" s="7" t="s">
        <v>258</v>
      </c>
      <c r="E427" s="7" t="n">
        <v>10</v>
      </c>
      <c r="F427" s="7" t="s">
        <v>759</v>
      </c>
    </row>
    <row r="428" customFormat="false" ht="15" hidden="false" customHeight="false" outlineLevel="0" collapsed="false">
      <c r="A428" s="7" t="s">
        <v>757</v>
      </c>
      <c r="B428" s="7" t="s">
        <v>1182</v>
      </c>
      <c r="C428" s="7" t="s">
        <v>595</v>
      </c>
      <c r="D428" s="7" t="s">
        <v>258</v>
      </c>
      <c r="E428" s="7" t="n">
        <v>4</v>
      </c>
      <c r="F428" s="7" t="s">
        <v>759</v>
      </c>
    </row>
    <row r="429" customFormat="false" ht="15" hidden="false" customHeight="false" outlineLevel="0" collapsed="false">
      <c r="A429" s="7" t="s">
        <v>757</v>
      </c>
      <c r="B429" s="7" t="s">
        <v>1183</v>
      </c>
      <c r="C429" s="7" t="s">
        <v>595</v>
      </c>
      <c r="D429" s="7" t="s">
        <v>258</v>
      </c>
      <c r="E429" s="7" t="n">
        <v>3</v>
      </c>
      <c r="F429" s="7" t="s">
        <v>759</v>
      </c>
    </row>
    <row r="430" customFormat="false" ht="15" hidden="false" customHeight="false" outlineLevel="0" collapsed="false">
      <c r="A430" s="7" t="s">
        <v>757</v>
      </c>
      <c r="B430" s="7" t="s">
        <v>1184</v>
      </c>
      <c r="C430" s="7" t="s">
        <v>597</v>
      </c>
      <c r="D430" s="7" t="s">
        <v>231</v>
      </c>
      <c r="E430" s="7" t="n">
        <v>4</v>
      </c>
      <c r="F430" s="7" t="s">
        <v>759</v>
      </c>
    </row>
    <row r="431" customFormat="false" ht="15" hidden="false" customHeight="false" outlineLevel="0" collapsed="false">
      <c r="A431" s="7" t="s">
        <v>757</v>
      </c>
      <c r="B431" s="7" t="s">
        <v>1185</v>
      </c>
      <c r="C431" s="7" t="s">
        <v>597</v>
      </c>
      <c r="D431" s="7" t="s">
        <v>231</v>
      </c>
      <c r="E431" s="7" t="n">
        <v>16</v>
      </c>
      <c r="F431" s="7" t="s">
        <v>759</v>
      </c>
    </row>
    <row r="432" customFormat="false" ht="15" hidden="false" customHeight="false" outlineLevel="0" collapsed="false">
      <c r="A432" s="7" t="s">
        <v>757</v>
      </c>
      <c r="B432" s="7" t="s">
        <v>1186</v>
      </c>
      <c r="C432" s="7" t="s">
        <v>599</v>
      </c>
      <c r="D432" s="7" t="s">
        <v>251</v>
      </c>
      <c r="E432" s="7" t="n">
        <v>4</v>
      </c>
      <c r="F432" s="7" t="s">
        <v>759</v>
      </c>
    </row>
    <row r="433" customFormat="false" ht="15" hidden="false" customHeight="false" outlineLevel="0" collapsed="false">
      <c r="A433" s="7" t="s">
        <v>757</v>
      </c>
      <c r="B433" s="7" t="s">
        <v>1187</v>
      </c>
      <c r="C433" s="7" t="s">
        <v>599</v>
      </c>
      <c r="D433" s="7" t="s">
        <v>251</v>
      </c>
      <c r="E433" s="7" t="n">
        <v>8</v>
      </c>
      <c r="F433" s="7" t="s">
        <v>759</v>
      </c>
    </row>
    <row r="434" customFormat="false" ht="15" hidden="false" customHeight="false" outlineLevel="0" collapsed="false">
      <c r="A434" s="7" t="s">
        <v>757</v>
      </c>
      <c r="B434" s="7" t="s">
        <v>1188</v>
      </c>
      <c r="C434" s="7" t="s">
        <v>599</v>
      </c>
      <c r="D434" s="7" t="s">
        <v>251</v>
      </c>
      <c r="E434" s="7" t="n">
        <v>4</v>
      </c>
      <c r="F434" s="7" t="s">
        <v>759</v>
      </c>
    </row>
    <row r="435" customFormat="false" ht="15" hidden="false" customHeight="false" outlineLevel="0" collapsed="false">
      <c r="A435" s="7" t="s">
        <v>757</v>
      </c>
      <c r="B435" s="7" t="s">
        <v>1189</v>
      </c>
      <c r="C435" s="7" t="s">
        <v>601</v>
      </c>
      <c r="D435" s="7" t="s">
        <v>246</v>
      </c>
      <c r="E435" s="7" t="n">
        <v>4</v>
      </c>
      <c r="F435" s="7" t="s">
        <v>759</v>
      </c>
    </row>
    <row r="436" customFormat="false" ht="15" hidden="false" customHeight="false" outlineLevel="0" collapsed="false">
      <c r="A436" s="7" t="s">
        <v>757</v>
      </c>
      <c r="B436" s="7" t="s">
        <v>1190</v>
      </c>
      <c r="C436" s="7" t="s">
        <v>601</v>
      </c>
      <c r="D436" s="7" t="s">
        <v>246</v>
      </c>
      <c r="E436" s="7" t="n">
        <v>10</v>
      </c>
      <c r="F436" s="7" t="s">
        <v>759</v>
      </c>
    </row>
    <row r="437" customFormat="false" ht="15" hidden="false" customHeight="false" outlineLevel="0" collapsed="false">
      <c r="A437" s="7" t="s">
        <v>757</v>
      </c>
      <c r="B437" s="7" t="s">
        <v>1191</v>
      </c>
      <c r="C437" s="7" t="s">
        <v>601</v>
      </c>
      <c r="D437" s="7" t="s">
        <v>246</v>
      </c>
      <c r="E437" s="7" t="n">
        <v>4</v>
      </c>
      <c r="F437" s="7" t="s">
        <v>759</v>
      </c>
    </row>
    <row r="438" customFormat="false" ht="15" hidden="false" customHeight="false" outlineLevel="0" collapsed="false">
      <c r="A438" s="7" t="s">
        <v>757</v>
      </c>
      <c r="B438" s="7" t="s">
        <v>1192</v>
      </c>
      <c r="C438" s="7" t="s">
        <v>605</v>
      </c>
      <c r="D438" s="7" t="s">
        <v>251</v>
      </c>
      <c r="E438" s="7" t="n">
        <v>4</v>
      </c>
      <c r="F438" s="7" t="s">
        <v>759</v>
      </c>
    </row>
    <row r="439" customFormat="false" ht="15" hidden="false" customHeight="false" outlineLevel="0" collapsed="false">
      <c r="A439" s="7" t="s">
        <v>757</v>
      </c>
      <c r="B439" s="7" t="s">
        <v>1193</v>
      </c>
      <c r="C439" s="7" t="s">
        <v>605</v>
      </c>
      <c r="D439" s="7" t="s">
        <v>251</v>
      </c>
      <c r="E439" s="7" t="n">
        <v>10</v>
      </c>
      <c r="F439" s="7" t="s">
        <v>759</v>
      </c>
    </row>
    <row r="440" customFormat="false" ht="15" hidden="false" customHeight="false" outlineLevel="0" collapsed="false">
      <c r="A440" s="7" t="s">
        <v>757</v>
      </c>
      <c r="B440" s="7" t="s">
        <v>1194</v>
      </c>
      <c r="C440" s="7" t="s">
        <v>605</v>
      </c>
      <c r="D440" s="7" t="s">
        <v>251</v>
      </c>
      <c r="E440" s="7" t="n">
        <v>4</v>
      </c>
      <c r="F440" s="7" t="s">
        <v>759</v>
      </c>
    </row>
    <row r="441" customFormat="false" ht="15" hidden="false" customHeight="false" outlineLevel="0" collapsed="false">
      <c r="A441" s="7" t="s">
        <v>757</v>
      </c>
      <c r="B441" s="7" t="s">
        <v>1195</v>
      </c>
      <c r="C441" s="7" t="s">
        <v>607</v>
      </c>
      <c r="D441" s="7" t="s">
        <v>246</v>
      </c>
      <c r="E441" s="7" t="n">
        <v>4</v>
      </c>
      <c r="F441" s="7" t="s">
        <v>759</v>
      </c>
    </row>
    <row r="442" customFormat="false" ht="15" hidden="false" customHeight="false" outlineLevel="0" collapsed="false">
      <c r="A442" s="7" t="s">
        <v>757</v>
      </c>
      <c r="B442" s="7" t="s">
        <v>1196</v>
      </c>
      <c r="C442" s="7" t="s">
        <v>607</v>
      </c>
      <c r="D442" s="7" t="s">
        <v>246</v>
      </c>
      <c r="E442" s="7" t="n">
        <v>16</v>
      </c>
      <c r="F442" s="7" t="s">
        <v>759</v>
      </c>
    </row>
    <row r="443" customFormat="false" ht="15" hidden="false" customHeight="false" outlineLevel="0" collapsed="false">
      <c r="A443" s="7" t="s">
        <v>757</v>
      </c>
      <c r="B443" s="7" t="s">
        <v>1197</v>
      </c>
      <c r="C443" s="7" t="s">
        <v>607</v>
      </c>
      <c r="D443" s="7" t="s">
        <v>246</v>
      </c>
      <c r="E443" s="7" t="n">
        <v>4</v>
      </c>
      <c r="F443" s="7" t="s">
        <v>759</v>
      </c>
    </row>
    <row r="444" customFormat="false" ht="15" hidden="false" customHeight="false" outlineLevel="0" collapsed="false">
      <c r="A444" s="7" t="s">
        <v>757</v>
      </c>
      <c r="B444" s="7" t="s">
        <v>1198</v>
      </c>
      <c r="C444" s="7" t="s">
        <v>609</v>
      </c>
      <c r="D444" s="7" t="s">
        <v>251</v>
      </c>
      <c r="E444" s="7" t="n">
        <v>4</v>
      </c>
      <c r="F444" s="7" t="s">
        <v>759</v>
      </c>
    </row>
    <row r="445" customFormat="false" ht="15" hidden="false" customHeight="false" outlineLevel="0" collapsed="false">
      <c r="A445" s="7" t="s">
        <v>757</v>
      </c>
      <c r="B445" s="7" t="s">
        <v>1199</v>
      </c>
      <c r="C445" s="7" t="s">
        <v>609</v>
      </c>
      <c r="D445" s="7" t="s">
        <v>251</v>
      </c>
      <c r="E445" s="7" t="n">
        <v>10</v>
      </c>
      <c r="F445" s="7" t="s">
        <v>759</v>
      </c>
    </row>
    <row r="446" customFormat="false" ht="15" hidden="false" customHeight="false" outlineLevel="0" collapsed="false">
      <c r="A446" s="7" t="s">
        <v>757</v>
      </c>
      <c r="B446" s="7" t="s">
        <v>1200</v>
      </c>
      <c r="C446" s="7" t="s">
        <v>609</v>
      </c>
      <c r="D446" s="7" t="s">
        <v>251</v>
      </c>
      <c r="E446" s="7" t="n">
        <v>4</v>
      </c>
      <c r="F446" s="7" t="s">
        <v>759</v>
      </c>
    </row>
    <row r="447" customFormat="false" ht="15" hidden="false" customHeight="false" outlineLevel="0" collapsed="false">
      <c r="A447" s="7" t="s">
        <v>757</v>
      </c>
      <c r="B447" s="7" t="s">
        <v>1201</v>
      </c>
      <c r="C447" s="7" t="s">
        <v>611</v>
      </c>
      <c r="D447" s="7" t="s">
        <v>246</v>
      </c>
      <c r="E447" s="7" t="n">
        <v>4</v>
      </c>
      <c r="F447" s="7" t="s">
        <v>759</v>
      </c>
    </row>
    <row r="448" customFormat="false" ht="15" hidden="false" customHeight="false" outlineLevel="0" collapsed="false">
      <c r="A448" s="7" t="s">
        <v>757</v>
      </c>
      <c r="B448" s="7" t="s">
        <v>1202</v>
      </c>
      <c r="C448" s="7" t="s">
        <v>611</v>
      </c>
      <c r="D448" s="7" t="s">
        <v>246</v>
      </c>
      <c r="E448" s="7" t="n">
        <v>10</v>
      </c>
      <c r="F448" s="7" t="s">
        <v>759</v>
      </c>
    </row>
    <row r="449" customFormat="false" ht="15" hidden="false" customHeight="false" outlineLevel="0" collapsed="false">
      <c r="A449" s="7" t="s">
        <v>757</v>
      </c>
      <c r="B449" s="7" t="s">
        <v>1203</v>
      </c>
      <c r="C449" s="7" t="s">
        <v>611</v>
      </c>
      <c r="D449" s="7" t="s">
        <v>246</v>
      </c>
      <c r="E449" s="7" t="n">
        <v>4</v>
      </c>
      <c r="F449" s="7" t="s">
        <v>759</v>
      </c>
    </row>
    <row r="450" customFormat="false" ht="15" hidden="false" customHeight="false" outlineLevel="0" collapsed="false">
      <c r="A450" s="7" t="s">
        <v>757</v>
      </c>
      <c r="B450" s="7" t="s">
        <v>1204</v>
      </c>
      <c r="C450" s="7" t="s">
        <v>614</v>
      </c>
      <c r="D450" s="7" t="s">
        <v>254</v>
      </c>
      <c r="E450" s="7" t="n">
        <v>10</v>
      </c>
      <c r="F450" s="7" t="s">
        <v>759</v>
      </c>
    </row>
    <row r="451" customFormat="false" ht="15" hidden="false" customHeight="false" outlineLevel="0" collapsed="false">
      <c r="A451" s="7" t="s">
        <v>757</v>
      </c>
      <c r="B451" s="7" t="s">
        <v>1205</v>
      </c>
      <c r="C451" s="7" t="s">
        <v>614</v>
      </c>
      <c r="D451" s="7" t="s">
        <v>254</v>
      </c>
      <c r="E451" s="7" t="n">
        <v>4</v>
      </c>
      <c r="F451" s="7" t="s">
        <v>759</v>
      </c>
    </row>
    <row r="452" customFormat="false" ht="15" hidden="false" customHeight="false" outlineLevel="0" collapsed="false">
      <c r="A452" s="7" t="s">
        <v>757</v>
      </c>
      <c r="B452" s="7" t="s">
        <v>1206</v>
      </c>
      <c r="C452" s="7" t="s">
        <v>614</v>
      </c>
      <c r="D452" s="7" t="s">
        <v>254</v>
      </c>
      <c r="E452" s="7" t="n">
        <v>3</v>
      </c>
      <c r="F452" s="7" t="s">
        <v>759</v>
      </c>
    </row>
    <row r="453" customFormat="false" ht="15" hidden="false" customHeight="false" outlineLevel="0" collapsed="false">
      <c r="A453" s="7" t="s">
        <v>757</v>
      </c>
      <c r="B453" s="7" t="s">
        <v>1207</v>
      </c>
      <c r="C453" s="7" t="s">
        <v>617</v>
      </c>
      <c r="D453" s="7" t="s">
        <v>258</v>
      </c>
      <c r="E453" s="7" t="n">
        <v>8</v>
      </c>
      <c r="F453" s="7" t="s">
        <v>759</v>
      </c>
    </row>
    <row r="454" customFormat="false" ht="15" hidden="false" customHeight="false" outlineLevel="0" collapsed="false">
      <c r="A454" s="7" t="s">
        <v>757</v>
      </c>
      <c r="B454" s="7" t="s">
        <v>1208</v>
      </c>
      <c r="C454" s="7" t="s">
        <v>617</v>
      </c>
      <c r="D454" s="7" t="s">
        <v>258</v>
      </c>
      <c r="E454" s="7" t="n">
        <v>4</v>
      </c>
      <c r="F454" s="7" t="s">
        <v>759</v>
      </c>
    </row>
    <row r="455" customFormat="false" ht="15" hidden="false" customHeight="false" outlineLevel="0" collapsed="false">
      <c r="A455" s="7" t="s">
        <v>757</v>
      </c>
      <c r="B455" s="7" t="s">
        <v>1209</v>
      </c>
      <c r="C455" s="7" t="s">
        <v>617</v>
      </c>
      <c r="D455" s="7" t="s">
        <v>258</v>
      </c>
      <c r="E455" s="7" t="n">
        <v>3</v>
      </c>
      <c r="F455" s="7" t="s">
        <v>759</v>
      </c>
    </row>
    <row r="456" customFormat="false" ht="15" hidden="false" customHeight="false" outlineLevel="0" collapsed="false">
      <c r="A456" s="7" t="s">
        <v>757</v>
      </c>
      <c r="B456" s="7" t="s">
        <v>1210</v>
      </c>
      <c r="C456" s="7" t="s">
        <v>619</v>
      </c>
      <c r="D456" s="7" t="s">
        <v>251</v>
      </c>
      <c r="E456" s="7" t="n">
        <v>4</v>
      </c>
      <c r="F456" s="7" t="s">
        <v>759</v>
      </c>
    </row>
    <row r="457" customFormat="false" ht="15" hidden="false" customHeight="false" outlineLevel="0" collapsed="false">
      <c r="A457" s="7" t="s">
        <v>757</v>
      </c>
      <c r="B457" s="7" t="s">
        <v>1211</v>
      </c>
      <c r="C457" s="7" t="s">
        <v>619</v>
      </c>
      <c r="D457" s="7" t="s">
        <v>251</v>
      </c>
      <c r="E457" s="7" t="n">
        <v>10</v>
      </c>
      <c r="F457" s="7" t="s">
        <v>759</v>
      </c>
    </row>
    <row r="458" customFormat="false" ht="15" hidden="false" customHeight="false" outlineLevel="0" collapsed="false">
      <c r="A458" s="7" t="s">
        <v>757</v>
      </c>
      <c r="B458" s="7" t="s">
        <v>1212</v>
      </c>
      <c r="C458" s="7" t="s">
        <v>619</v>
      </c>
      <c r="D458" s="7" t="s">
        <v>251</v>
      </c>
      <c r="E458" s="7" t="n">
        <v>4</v>
      </c>
      <c r="F458" s="7" t="s">
        <v>759</v>
      </c>
    </row>
    <row r="459" customFormat="false" ht="15" hidden="false" customHeight="false" outlineLevel="0" collapsed="false">
      <c r="A459" s="7" t="s">
        <v>757</v>
      </c>
      <c r="B459" s="7" t="s">
        <v>1213</v>
      </c>
      <c r="C459" s="7" t="s">
        <v>621</v>
      </c>
      <c r="D459" s="7" t="s">
        <v>231</v>
      </c>
      <c r="E459" s="7" t="n">
        <v>4</v>
      </c>
      <c r="F459" s="7" t="s">
        <v>759</v>
      </c>
    </row>
    <row r="460" customFormat="false" ht="15" hidden="false" customHeight="false" outlineLevel="0" collapsed="false">
      <c r="A460" s="7" t="s">
        <v>757</v>
      </c>
      <c r="B460" s="7" t="s">
        <v>1214</v>
      </c>
      <c r="C460" s="7" t="s">
        <v>621</v>
      </c>
      <c r="D460" s="7" t="s">
        <v>231</v>
      </c>
      <c r="E460" s="7" t="n">
        <v>6</v>
      </c>
      <c r="F460" s="7" t="s">
        <v>759</v>
      </c>
    </row>
    <row r="461" customFormat="false" ht="15" hidden="false" customHeight="false" outlineLevel="0" collapsed="false">
      <c r="A461" s="7" t="s">
        <v>757</v>
      </c>
      <c r="B461" s="7" t="s">
        <v>1215</v>
      </c>
      <c r="C461" s="7" t="s">
        <v>623</v>
      </c>
      <c r="D461" s="7" t="s">
        <v>246</v>
      </c>
      <c r="E461" s="7" t="n">
        <v>4</v>
      </c>
      <c r="F461" s="7" t="s">
        <v>759</v>
      </c>
    </row>
    <row r="462" customFormat="false" ht="15" hidden="false" customHeight="false" outlineLevel="0" collapsed="false">
      <c r="A462" s="7" t="s">
        <v>757</v>
      </c>
      <c r="B462" s="7" t="s">
        <v>1216</v>
      </c>
      <c r="C462" s="7" t="s">
        <v>623</v>
      </c>
      <c r="D462" s="7" t="s">
        <v>246</v>
      </c>
      <c r="E462" s="7" t="n">
        <v>16</v>
      </c>
      <c r="F462" s="7" t="s">
        <v>759</v>
      </c>
    </row>
    <row r="463" customFormat="false" ht="15" hidden="false" customHeight="false" outlineLevel="0" collapsed="false">
      <c r="A463" s="7" t="s">
        <v>757</v>
      </c>
      <c r="B463" s="7" t="s">
        <v>1217</v>
      </c>
      <c r="C463" s="7" t="s">
        <v>623</v>
      </c>
      <c r="D463" s="7" t="s">
        <v>246</v>
      </c>
      <c r="E463" s="7" t="n">
        <v>4</v>
      </c>
      <c r="F463" s="7" t="s">
        <v>759</v>
      </c>
    </row>
    <row r="464" customFormat="false" ht="15" hidden="false" customHeight="false" outlineLevel="0" collapsed="false">
      <c r="A464" s="7" t="s">
        <v>757</v>
      </c>
      <c r="B464" s="7" t="s">
        <v>1218</v>
      </c>
      <c r="C464" s="7" t="s">
        <v>626</v>
      </c>
      <c r="D464" s="7" t="s">
        <v>251</v>
      </c>
      <c r="E464" s="7" t="n">
        <v>4</v>
      </c>
      <c r="F464" s="7" t="s">
        <v>759</v>
      </c>
    </row>
    <row r="465" customFormat="false" ht="15" hidden="false" customHeight="false" outlineLevel="0" collapsed="false">
      <c r="A465" s="7" t="s">
        <v>757</v>
      </c>
      <c r="B465" s="7" t="s">
        <v>1219</v>
      </c>
      <c r="C465" s="7" t="s">
        <v>626</v>
      </c>
      <c r="D465" s="7" t="s">
        <v>251</v>
      </c>
      <c r="E465" s="7" t="n">
        <v>10</v>
      </c>
      <c r="F465" s="7" t="s">
        <v>759</v>
      </c>
    </row>
    <row r="466" customFormat="false" ht="15" hidden="false" customHeight="false" outlineLevel="0" collapsed="false">
      <c r="A466" s="7" t="s">
        <v>757</v>
      </c>
      <c r="B466" s="7" t="s">
        <v>1220</v>
      </c>
      <c r="C466" s="7" t="s">
        <v>626</v>
      </c>
      <c r="D466" s="7" t="s">
        <v>251</v>
      </c>
      <c r="E466" s="7" t="n">
        <v>4</v>
      </c>
      <c r="F466" s="7" t="s">
        <v>759</v>
      </c>
    </row>
    <row r="467" customFormat="false" ht="15" hidden="false" customHeight="false" outlineLevel="0" collapsed="false">
      <c r="A467" s="7" t="s">
        <v>757</v>
      </c>
      <c r="B467" s="7" t="s">
        <v>1221</v>
      </c>
      <c r="C467" s="7" t="s">
        <v>628</v>
      </c>
      <c r="D467" s="7" t="s">
        <v>246</v>
      </c>
      <c r="E467" s="7" t="n">
        <v>4</v>
      </c>
      <c r="F467" s="7" t="s">
        <v>759</v>
      </c>
    </row>
    <row r="468" customFormat="false" ht="15" hidden="false" customHeight="false" outlineLevel="0" collapsed="false">
      <c r="A468" s="7" t="s">
        <v>757</v>
      </c>
      <c r="B468" s="7" t="s">
        <v>1222</v>
      </c>
      <c r="C468" s="7" t="s">
        <v>628</v>
      </c>
      <c r="D468" s="7" t="s">
        <v>246</v>
      </c>
      <c r="E468" s="7" t="n">
        <v>8</v>
      </c>
      <c r="F468" s="7" t="s">
        <v>759</v>
      </c>
    </row>
    <row r="469" customFormat="false" ht="15" hidden="false" customHeight="false" outlineLevel="0" collapsed="false">
      <c r="A469" s="7" t="s">
        <v>757</v>
      </c>
      <c r="B469" s="7" t="s">
        <v>1223</v>
      </c>
      <c r="C469" s="7" t="s">
        <v>628</v>
      </c>
      <c r="D469" s="7" t="s">
        <v>246</v>
      </c>
      <c r="E469" s="7" t="n">
        <v>4</v>
      </c>
      <c r="F469" s="7" t="s">
        <v>759</v>
      </c>
    </row>
    <row r="470" customFormat="false" ht="15" hidden="false" customHeight="false" outlineLevel="0" collapsed="false">
      <c r="A470" s="7" t="s">
        <v>757</v>
      </c>
      <c r="B470" s="7" t="s">
        <v>1224</v>
      </c>
      <c r="C470" s="7" t="s">
        <v>630</v>
      </c>
      <c r="D470" s="7" t="s">
        <v>251</v>
      </c>
      <c r="E470" s="7" t="n">
        <v>4</v>
      </c>
      <c r="F470" s="7" t="s">
        <v>759</v>
      </c>
    </row>
    <row r="471" customFormat="false" ht="15" hidden="false" customHeight="false" outlineLevel="0" collapsed="false">
      <c r="A471" s="7" t="s">
        <v>757</v>
      </c>
      <c r="B471" s="7" t="s">
        <v>1225</v>
      </c>
      <c r="C471" s="7" t="s">
        <v>630</v>
      </c>
      <c r="D471" s="7" t="s">
        <v>251</v>
      </c>
      <c r="E471" s="7" t="n">
        <v>10</v>
      </c>
      <c r="F471" s="7" t="s">
        <v>759</v>
      </c>
    </row>
    <row r="472" customFormat="false" ht="15" hidden="false" customHeight="false" outlineLevel="0" collapsed="false">
      <c r="A472" s="7" t="s">
        <v>757</v>
      </c>
      <c r="B472" s="7" t="s">
        <v>1226</v>
      </c>
      <c r="C472" s="7" t="s">
        <v>630</v>
      </c>
      <c r="D472" s="7" t="s">
        <v>251</v>
      </c>
      <c r="E472" s="7" t="n">
        <v>4</v>
      </c>
      <c r="F472" s="7" t="s">
        <v>759</v>
      </c>
    </row>
    <row r="473" customFormat="false" ht="15" hidden="false" customHeight="false" outlineLevel="0" collapsed="false">
      <c r="A473" s="7" t="s">
        <v>757</v>
      </c>
      <c r="B473" s="7" t="s">
        <v>1227</v>
      </c>
      <c r="C473" s="7" t="s">
        <v>633</v>
      </c>
      <c r="D473" s="7" t="s">
        <v>251</v>
      </c>
      <c r="E473" s="7" t="n">
        <v>4</v>
      </c>
      <c r="F473" s="7" t="s">
        <v>759</v>
      </c>
    </row>
    <row r="474" customFormat="false" ht="15" hidden="false" customHeight="false" outlineLevel="0" collapsed="false">
      <c r="A474" s="7" t="s">
        <v>757</v>
      </c>
      <c r="B474" s="7" t="s">
        <v>1228</v>
      </c>
      <c r="C474" s="7" t="s">
        <v>633</v>
      </c>
      <c r="D474" s="7" t="s">
        <v>251</v>
      </c>
      <c r="E474" s="7" t="n">
        <v>8</v>
      </c>
      <c r="F474" s="7" t="s">
        <v>759</v>
      </c>
    </row>
    <row r="475" customFormat="false" ht="23.85" hidden="false" customHeight="false" outlineLevel="0" collapsed="false">
      <c r="A475" s="7" t="s">
        <v>757</v>
      </c>
      <c r="B475" s="7" t="s">
        <v>1229</v>
      </c>
      <c r="C475" s="7" t="s">
        <v>633</v>
      </c>
      <c r="D475" s="7" t="s">
        <v>251</v>
      </c>
      <c r="E475" s="7" t="n">
        <v>4</v>
      </c>
      <c r="F475" s="7" t="s">
        <v>759</v>
      </c>
    </row>
    <row r="476" customFormat="false" ht="15" hidden="false" customHeight="false" outlineLevel="0" collapsed="false">
      <c r="A476" s="7" t="s">
        <v>757</v>
      </c>
      <c r="B476" s="7" t="s">
        <v>1230</v>
      </c>
      <c r="C476" s="7" t="s">
        <v>635</v>
      </c>
      <c r="D476" s="7" t="s">
        <v>246</v>
      </c>
      <c r="E476" s="7" t="n">
        <v>4</v>
      </c>
      <c r="F476" s="7" t="s">
        <v>759</v>
      </c>
    </row>
    <row r="477" customFormat="false" ht="15" hidden="false" customHeight="false" outlineLevel="0" collapsed="false">
      <c r="A477" s="7" t="s">
        <v>757</v>
      </c>
      <c r="B477" s="7" t="s">
        <v>1231</v>
      </c>
      <c r="C477" s="7" t="s">
        <v>635</v>
      </c>
      <c r="D477" s="7" t="s">
        <v>246</v>
      </c>
      <c r="E477" s="7" t="n">
        <v>8</v>
      </c>
      <c r="F477" s="7" t="s">
        <v>759</v>
      </c>
    </row>
    <row r="478" customFormat="false" ht="15" hidden="false" customHeight="false" outlineLevel="0" collapsed="false">
      <c r="A478" s="7" t="s">
        <v>757</v>
      </c>
      <c r="B478" s="7" t="s">
        <v>1232</v>
      </c>
      <c r="C478" s="7" t="s">
        <v>635</v>
      </c>
      <c r="D478" s="7" t="s">
        <v>246</v>
      </c>
      <c r="E478" s="7" t="n">
        <v>4</v>
      </c>
      <c r="F478" s="7" t="s">
        <v>759</v>
      </c>
    </row>
    <row r="479" customFormat="false" ht="15" hidden="false" customHeight="false" outlineLevel="0" collapsed="false">
      <c r="A479" s="7" t="s">
        <v>757</v>
      </c>
      <c r="B479" s="7" t="s">
        <v>1233</v>
      </c>
      <c r="C479" s="7" t="s">
        <v>637</v>
      </c>
      <c r="D479" s="7" t="s">
        <v>251</v>
      </c>
      <c r="E479" s="7" t="n">
        <v>4</v>
      </c>
      <c r="F479" s="7" t="s">
        <v>759</v>
      </c>
    </row>
    <row r="480" customFormat="false" ht="15" hidden="false" customHeight="false" outlineLevel="0" collapsed="false">
      <c r="A480" s="7" t="s">
        <v>757</v>
      </c>
      <c r="B480" s="7" t="s">
        <v>1234</v>
      </c>
      <c r="C480" s="7" t="s">
        <v>637</v>
      </c>
      <c r="D480" s="7" t="s">
        <v>251</v>
      </c>
      <c r="E480" s="7" t="n">
        <v>10</v>
      </c>
      <c r="F480" s="7" t="s">
        <v>759</v>
      </c>
    </row>
    <row r="481" customFormat="false" ht="15" hidden="false" customHeight="false" outlineLevel="0" collapsed="false">
      <c r="A481" s="7" t="s">
        <v>757</v>
      </c>
      <c r="B481" s="7" t="s">
        <v>1235</v>
      </c>
      <c r="C481" s="7" t="s">
        <v>637</v>
      </c>
      <c r="D481" s="7" t="s">
        <v>251</v>
      </c>
      <c r="E481" s="7" t="n">
        <v>4</v>
      </c>
      <c r="F481" s="7" t="s">
        <v>759</v>
      </c>
    </row>
    <row r="482" customFormat="false" ht="15" hidden="false" customHeight="false" outlineLevel="0" collapsed="false">
      <c r="A482" s="7" t="s">
        <v>757</v>
      </c>
      <c r="B482" s="7" t="s">
        <v>1236</v>
      </c>
      <c r="C482" s="7" t="s">
        <v>640</v>
      </c>
      <c r="D482" s="7" t="s">
        <v>246</v>
      </c>
      <c r="E482" s="7" t="n">
        <v>4</v>
      </c>
      <c r="F482" s="7" t="s">
        <v>759</v>
      </c>
    </row>
    <row r="483" customFormat="false" ht="15" hidden="false" customHeight="false" outlineLevel="0" collapsed="false">
      <c r="A483" s="7" t="s">
        <v>757</v>
      </c>
      <c r="B483" s="7" t="s">
        <v>1237</v>
      </c>
      <c r="C483" s="7" t="s">
        <v>640</v>
      </c>
      <c r="D483" s="7" t="s">
        <v>246</v>
      </c>
      <c r="E483" s="7" t="n">
        <v>10</v>
      </c>
      <c r="F483" s="7" t="s">
        <v>759</v>
      </c>
    </row>
    <row r="484" customFormat="false" ht="15" hidden="false" customHeight="false" outlineLevel="0" collapsed="false">
      <c r="A484" s="7" t="s">
        <v>757</v>
      </c>
      <c r="B484" s="7" t="s">
        <v>1238</v>
      </c>
      <c r="C484" s="7" t="s">
        <v>640</v>
      </c>
      <c r="D484" s="7" t="s">
        <v>246</v>
      </c>
      <c r="E484" s="7" t="n">
        <v>4</v>
      </c>
      <c r="F484" s="7" t="s">
        <v>759</v>
      </c>
    </row>
    <row r="485" customFormat="false" ht="15" hidden="false" customHeight="false" outlineLevel="0" collapsed="false">
      <c r="A485" s="7" t="s">
        <v>757</v>
      </c>
      <c r="B485" s="7" t="s">
        <v>1239</v>
      </c>
      <c r="C485" s="7" t="s">
        <v>642</v>
      </c>
      <c r="D485" s="7" t="s">
        <v>231</v>
      </c>
      <c r="E485" s="7" t="n">
        <v>4</v>
      </c>
      <c r="F485" s="7" t="s">
        <v>759</v>
      </c>
    </row>
    <row r="486" customFormat="false" ht="15" hidden="false" customHeight="false" outlineLevel="0" collapsed="false">
      <c r="A486" s="7" t="s">
        <v>757</v>
      </c>
      <c r="B486" s="7" t="s">
        <v>1240</v>
      </c>
      <c r="C486" s="7" t="s">
        <v>642</v>
      </c>
      <c r="D486" s="7" t="s">
        <v>231</v>
      </c>
      <c r="E486" s="7" t="n">
        <v>10</v>
      </c>
      <c r="F486" s="7" t="s">
        <v>759</v>
      </c>
    </row>
    <row r="487" customFormat="false" ht="15" hidden="false" customHeight="false" outlineLevel="0" collapsed="false">
      <c r="A487" s="7" t="s">
        <v>757</v>
      </c>
      <c r="B487" s="7" t="s">
        <v>1241</v>
      </c>
      <c r="C487" s="7" t="s">
        <v>645</v>
      </c>
      <c r="D487" s="7" t="s">
        <v>231</v>
      </c>
      <c r="E487" s="7" t="n">
        <v>4</v>
      </c>
      <c r="F487" s="7" t="s">
        <v>759</v>
      </c>
    </row>
    <row r="488" customFormat="false" ht="15" hidden="false" customHeight="false" outlineLevel="0" collapsed="false">
      <c r="A488" s="7" t="s">
        <v>757</v>
      </c>
      <c r="B488" s="7" t="s">
        <v>1242</v>
      </c>
      <c r="C488" s="7" t="s">
        <v>645</v>
      </c>
      <c r="D488" s="7" t="s">
        <v>231</v>
      </c>
      <c r="E488" s="7" t="n">
        <v>6</v>
      </c>
      <c r="F488" s="7" t="s">
        <v>759</v>
      </c>
    </row>
    <row r="489" customFormat="false" ht="15" hidden="false" customHeight="false" outlineLevel="0" collapsed="false">
      <c r="A489" s="7" t="s">
        <v>757</v>
      </c>
      <c r="B489" s="7" t="s">
        <v>1243</v>
      </c>
      <c r="C489" s="7" t="s">
        <v>648</v>
      </c>
      <c r="D489" s="7" t="s">
        <v>204</v>
      </c>
      <c r="E489" s="7" t="n">
        <v>4</v>
      </c>
      <c r="F489" s="7" t="s">
        <v>759</v>
      </c>
    </row>
    <row r="490" customFormat="false" ht="15" hidden="false" customHeight="false" outlineLevel="0" collapsed="false">
      <c r="A490" s="7" t="s">
        <v>757</v>
      </c>
      <c r="B490" s="7" t="s">
        <v>1244</v>
      </c>
      <c r="C490" s="7" t="s">
        <v>648</v>
      </c>
      <c r="D490" s="7" t="s">
        <v>204</v>
      </c>
      <c r="E490" s="7" t="n">
        <v>2</v>
      </c>
      <c r="F490" s="7" t="s">
        <v>759</v>
      </c>
    </row>
    <row r="491" customFormat="false" ht="15" hidden="false" customHeight="false" outlineLevel="0" collapsed="false">
      <c r="A491" s="7" t="s">
        <v>757</v>
      </c>
      <c r="B491" s="7" t="s">
        <v>1245</v>
      </c>
      <c r="C491" s="7" t="s">
        <v>652</v>
      </c>
      <c r="D491" s="7" t="s">
        <v>204</v>
      </c>
      <c r="E491" s="7" t="n">
        <v>4</v>
      </c>
      <c r="F491" s="7" t="s">
        <v>759</v>
      </c>
    </row>
    <row r="492" customFormat="false" ht="15" hidden="false" customHeight="false" outlineLevel="0" collapsed="false">
      <c r="A492" s="7" t="s">
        <v>757</v>
      </c>
      <c r="B492" s="7" t="s">
        <v>1246</v>
      </c>
      <c r="C492" s="7" t="s">
        <v>652</v>
      </c>
      <c r="D492" s="7" t="s">
        <v>204</v>
      </c>
      <c r="E492" s="7" t="n">
        <v>2</v>
      </c>
      <c r="F492" s="7" t="s">
        <v>759</v>
      </c>
    </row>
    <row r="493" customFormat="false" ht="15" hidden="false" customHeight="false" outlineLevel="0" collapsed="false">
      <c r="A493" s="7" t="s">
        <v>757</v>
      </c>
      <c r="B493" s="7" t="s">
        <v>1247</v>
      </c>
      <c r="C493" s="7" t="s">
        <v>654</v>
      </c>
      <c r="D493" s="7" t="s">
        <v>204</v>
      </c>
      <c r="E493" s="7" t="n">
        <v>4</v>
      </c>
      <c r="F493" s="7" t="s">
        <v>759</v>
      </c>
    </row>
    <row r="494" customFormat="false" ht="15" hidden="false" customHeight="false" outlineLevel="0" collapsed="false">
      <c r="A494" s="7" t="s">
        <v>757</v>
      </c>
      <c r="B494" s="7" t="s">
        <v>1248</v>
      </c>
      <c r="C494" s="7" t="s">
        <v>654</v>
      </c>
      <c r="D494" s="7" t="s">
        <v>204</v>
      </c>
      <c r="E494" s="7" t="n">
        <v>2</v>
      </c>
      <c r="F494" s="7" t="s">
        <v>759</v>
      </c>
    </row>
    <row r="495" customFormat="false" ht="15" hidden="false" customHeight="false" outlineLevel="0" collapsed="false">
      <c r="A495" s="7" t="s">
        <v>757</v>
      </c>
      <c r="B495" s="7" t="s">
        <v>1249</v>
      </c>
      <c r="C495" s="7" t="s">
        <v>656</v>
      </c>
      <c r="D495" s="7" t="s">
        <v>231</v>
      </c>
      <c r="E495" s="7" t="n">
        <v>4</v>
      </c>
      <c r="F495" s="7" t="s">
        <v>759</v>
      </c>
    </row>
    <row r="496" customFormat="false" ht="15" hidden="false" customHeight="false" outlineLevel="0" collapsed="false">
      <c r="A496" s="7" t="s">
        <v>757</v>
      </c>
      <c r="B496" s="7" t="s">
        <v>1250</v>
      </c>
      <c r="C496" s="7" t="s">
        <v>656</v>
      </c>
      <c r="D496" s="7" t="s">
        <v>231</v>
      </c>
      <c r="E496" s="7" t="n">
        <v>10</v>
      </c>
      <c r="F496" s="7" t="s">
        <v>759</v>
      </c>
    </row>
    <row r="497" customFormat="false" ht="15" hidden="false" customHeight="false" outlineLevel="0" collapsed="false">
      <c r="A497" s="7" t="s">
        <v>757</v>
      </c>
      <c r="B497" s="7" t="s">
        <v>1251</v>
      </c>
      <c r="C497" s="7" t="s">
        <v>658</v>
      </c>
      <c r="D497" s="7" t="s">
        <v>231</v>
      </c>
      <c r="E497" s="7" t="n">
        <v>4</v>
      </c>
      <c r="F497" s="7" t="s">
        <v>759</v>
      </c>
    </row>
    <row r="498" customFormat="false" ht="15" hidden="false" customHeight="false" outlineLevel="0" collapsed="false">
      <c r="A498" s="7" t="s">
        <v>757</v>
      </c>
      <c r="B498" s="7" t="s">
        <v>1252</v>
      </c>
      <c r="C498" s="7" t="s">
        <v>658</v>
      </c>
      <c r="D498" s="7" t="s">
        <v>231</v>
      </c>
      <c r="E498" s="7" t="n">
        <v>6</v>
      </c>
      <c r="F498" s="7" t="s">
        <v>759</v>
      </c>
    </row>
    <row r="499" customFormat="false" ht="15" hidden="false" customHeight="false" outlineLevel="0" collapsed="false">
      <c r="A499" s="7" t="s">
        <v>757</v>
      </c>
      <c r="B499" s="7" t="s">
        <v>1253</v>
      </c>
      <c r="C499" s="7" t="s">
        <v>660</v>
      </c>
      <c r="D499" s="7" t="s">
        <v>246</v>
      </c>
      <c r="E499" s="7" t="n">
        <v>4</v>
      </c>
      <c r="F499" s="7" t="s">
        <v>759</v>
      </c>
    </row>
    <row r="500" customFormat="false" ht="15" hidden="false" customHeight="false" outlineLevel="0" collapsed="false">
      <c r="A500" s="7" t="s">
        <v>757</v>
      </c>
      <c r="B500" s="7" t="s">
        <v>1254</v>
      </c>
      <c r="C500" s="7" t="s">
        <v>660</v>
      </c>
      <c r="D500" s="7" t="s">
        <v>246</v>
      </c>
      <c r="E500" s="7" t="n">
        <v>10</v>
      </c>
      <c r="F500" s="7" t="s">
        <v>759</v>
      </c>
    </row>
    <row r="501" customFormat="false" ht="15" hidden="false" customHeight="false" outlineLevel="0" collapsed="false">
      <c r="A501" s="7" t="s">
        <v>757</v>
      </c>
      <c r="B501" s="7" t="s">
        <v>1255</v>
      </c>
      <c r="C501" s="7" t="s">
        <v>660</v>
      </c>
      <c r="D501" s="7" t="s">
        <v>246</v>
      </c>
      <c r="E501" s="7" t="n">
        <v>4</v>
      </c>
      <c r="F501" s="7" t="s">
        <v>759</v>
      </c>
    </row>
    <row r="502" customFormat="false" ht="15" hidden="false" customHeight="false" outlineLevel="0" collapsed="false">
      <c r="A502" s="7" t="s">
        <v>757</v>
      </c>
      <c r="B502" s="7" t="s">
        <v>1256</v>
      </c>
      <c r="C502" s="7" t="s">
        <v>662</v>
      </c>
      <c r="D502" s="7" t="s">
        <v>254</v>
      </c>
      <c r="E502" s="7" t="n">
        <v>8</v>
      </c>
      <c r="F502" s="7" t="s">
        <v>759</v>
      </c>
    </row>
    <row r="503" customFormat="false" ht="23.85" hidden="false" customHeight="false" outlineLevel="0" collapsed="false">
      <c r="A503" s="7" t="s">
        <v>757</v>
      </c>
      <c r="B503" s="7" t="s">
        <v>1257</v>
      </c>
      <c r="C503" s="7" t="s">
        <v>662</v>
      </c>
      <c r="D503" s="7" t="s">
        <v>254</v>
      </c>
      <c r="E503" s="7" t="n">
        <v>4</v>
      </c>
      <c r="F503" s="7" t="s">
        <v>759</v>
      </c>
    </row>
    <row r="504" customFormat="false" ht="15" hidden="false" customHeight="false" outlineLevel="0" collapsed="false">
      <c r="A504" s="7" t="s">
        <v>757</v>
      </c>
      <c r="B504" s="7" t="s">
        <v>1258</v>
      </c>
      <c r="C504" s="7" t="s">
        <v>662</v>
      </c>
      <c r="D504" s="7" t="s">
        <v>254</v>
      </c>
      <c r="E504" s="7" t="n">
        <v>3</v>
      </c>
      <c r="F504" s="7" t="s">
        <v>759</v>
      </c>
    </row>
    <row r="505" customFormat="false" ht="15" hidden="false" customHeight="false" outlineLevel="0" collapsed="false">
      <c r="A505" s="7" t="s">
        <v>757</v>
      </c>
      <c r="B505" s="7" t="s">
        <v>1259</v>
      </c>
      <c r="C505" s="7" t="s">
        <v>664</v>
      </c>
      <c r="D505" s="7" t="s">
        <v>251</v>
      </c>
      <c r="E505" s="7" t="n">
        <v>4</v>
      </c>
      <c r="F505" s="7" t="s">
        <v>759</v>
      </c>
    </row>
    <row r="506" customFormat="false" ht="15" hidden="false" customHeight="false" outlineLevel="0" collapsed="false">
      <c r="A506" s="7" t="s">
        <v>757</v>
      </c>
      <c r="B506" s="7" t="s">
        <v>1260</v>
      </c>
      <c r="C506" s="7" t="s">
        <v>664</v>
      </c>
      <c r="D506" s="7" t="s">
        <v>251</v>
      </c>
      <c r="E506" s="7" t="n">
        <v>8</v>
      </c>
      <c r="F506" s="7" t="s">
        <v>759</v>
      </c>
    </row>
    <row r="507" customFormat="false" ht="15" hidden="false" customHeight="false" outlineLevel="0" collapsed="false">
      <c r="A507" s="7" t="s">
        <v>757</v>
      </c>
      <c r="B507" s="7" t="s">
        <v>1261</v>
      </c>
      <c r="C507" s="7" t="s">
        <v>664</v>
      </c>
      <c r="D507" s="7" t="s">
        <v>251</v>
      </c>
      <c r="E507" s="7" t="n">
        <v>4</v>
      </c>
      <c r="F507" s="7" t="s">
        <v>759</v>
      </c>
    </row>
    <row r="508" customFormat="false" ht="15" hidden="false" customHeight="false" outlineLevel="0" collapsed="false">
      <c r="A508" s="7" t="s">
        <v>757</v>
      </c>
      <c r="B508" s="7" t="s">
        <v>1262</v>
      </c>
      <c r="C508" s="7" t="s">
        <v>667</v>
      </c>
      <c r="D508" s="7" t="s">
        <v>231</v>
      </c>
      <c r="E508" s="7" t="n">
        <v>4</v>
      </c>
      <c r="F508" s="7" t="s">
        <v>759</v>
      </c>
    </row>
    <row r="509" customFormat="false" ht="15" hidden="false" customHeight="false" outlineLevel="0" collapsed="false">
      <c r="A509" s="7" t="s">
        <v>757</v>
      </c>
      <c r="B509" s="7" t="s">
        <v>1263</v>
      </c>
      <c r="C509" s="7" t="s">
        <v>667</v>
      </c>
      <c r="D509" s="7" t="s">
        <v>231</v>
      </c>
      <c r="E509" s="7" t="n">
        <v>10</v>
      </c>
      <c r="F509" s="7" t="s">
        <v>759</v>
      </c>
    </row>
    <row r="510" customFormat="false" ht="15" hidden="false" customHeight="false" outlineLevel="0" collapsed="false">
      <c r="A510" s="7" t="s">
        <v>757</v>
      </c>
      <c r="B510" s="7" t="s">
        <v>1264</v>
      </c>
      <c r="C510" s="7" t="s">
        <v>671</v>
      </c>
      <c r="D510" s="7" t="s">
        <v>231</v>
      </c>
      <c r="E510" s="7" t="n">
        <v>4</v>
      </c>
      <c r="F510" s="7" t="s">
        <v>759</v>
      </c>
    </row>
    <row r="511" customFormat="false" ht="15" hidden="false" customHeight="false" outlineLevel="0" collapsed="false">
      <c r="A511" s="7" t="s">
        <v>757</v>
      </c>
      <c r="B511" s="7" t="s">
        <v>1265</v>
      </c>
      <c r="C511" s="7" t="s">
        <v>671</v>
      </c>
      <c r="D511" s="7" t="s">
        <v>231</v>
      </c>
      <c r="E511" s="7" t="n">
        <v>10</v>
      </c>
      <c r="F511" s="7" t="s">
        <v>759</v>
      </c>
    </row>
    <row r="512" customFormat="false" ht="15" hidden="false" customHeight="false" outlineLevel="0" collapsed="false">
      <c r="A512" s="7" t="s">
        <v>757</v>
      </c>
      <c r="B512" s="7" t="s">
        <v>1266</v>
      </c>
      <c r="C512" s="7" t="s">
        <v>673</v>
      </c>
      <c r="D512" s="7" t="s">
        <v>246</v>
      </c>
      <c r="E512" s="7" t="n">
        <v>4</v>
      </c>
      <c r="F512" s="7" t="s">
        <v>759</v>
      </c>
    </row>
    <row r="513" customFormat="false" ht="15" hidden="false" customHeight="false" outlineLevel="0" collapsed="false">
      <c r="A513" s="7" t="s">
        <v>757</v>
      </c>
      <c r="B513" s="7" t="s">
        <v>1267</v>
      </c>
      <c r="C513" s="7" t="s">
        <v>673</v>
      </c>
      <c r="D513" s="7" t="s">
        <v>246</v>
      </c>
      <c r="E513" s="7" t="n">
        <v>16</v>
      </c>
      <c r="F513" s="7" t="s">
        <v>759</v>
      </c>
    </row>
    <row r="514" customFormat="false" ht="15" hidden="false" customHeight="false" outlineLevel="0" collapsed="false">
      <c r="A514" s="7" t="s">
        <v>757</v>
      </c>
      <c r="B514" s="7" t="s">
        <v>1268</v>
      </c>
      <c r="C514" s="7" t="s">
        <v>673</v>
      </c>
      <c r="D514" s="7" t="s">
        <v>246</v>
      </c>
      <c r="E514" s="7" t="n">
        <v>4</v>
      </c>
      <c r="F514" s="7" t="s">
        <v>759</v>
      </c>
    </row>
    <row r="515" customFormat="false" ht="15" hidden="false" customHeight="false" outlineLevel="0" collapsed="false">
      <c r="A515" s="7" t="s">
        <v>757</v>
      </c>
      <c r="B515" s="7" t="s">
        <v>1269</v>
      </c>
      <c r="C515" s="7" t="s">
        <v>676</v>
      </c>
      <c r="D515" s="7" t="s">
        <v>254</v>
      </c>
      <c r="E515" s="7" t="n">
        <v>16</v>
      </c>
      <c r="F515" s="7" t="s">
        <v>759</v>
      </c>
    </row>
    <row r="516" customFormat="false" ht="15" hidden="false" customHeight="false" outlineLevel="0" collapsed="false">
      <c r="A516" s="7" t="s">
        <v>757</v>
      </c>
      <c r="B516" s="7" t="s">
        <v>1270</v>
      </c>
      <c r="C516" s="7" t="s">
        <v>676</v>
      </c>
      <c r="D516" s="7" t="s">
        <v>254</v>
      </c>
      <c r="E516" s="7" t="n">
        <v>4</v>
      </c>
      <c r="F516" s="7" t="s">
        <v>759</v>
      </c>
    </row>
    <row r="517" customFormat="false" ht="15" hidden="false" customHeight="false" outlineLevel="0" collapsed="false">
      <c r="A517" s="7" t="s">
        <v>757</v>
      </c>
      <c r="B517" s="7" t="s">
        <v>1271</v>
      </c>
      <c r="C517" s="7" t="s">
        <v>676</v>
      </c>
      <c r="D517" s="7" t="s">
        <v>254</v>
      </c>
      <c r="E517" s="7" t="n">
        <v>3</v>
      </c>
      <c r="F517" s="7" t="s">
        <v>759</v>
      </c>
    </row>
    <row r="518" customFormat="false" ht="15" hidden="false" customHeight="false" outlineLevel="0" collapsed="false">
      <c r="A518" s="7" t="s">
        <v>757</v>
      </c>
      <c r="B518" s="7" t="s">
        <v>1272</v>
      </c>
      <c r="C518" s="7" t="s">
        <v>679</v>
      </c>
      <c r="D518" s="7" t="s">
        <v>204</v>
      </c>
      <c r="E518" s="7" t="n">
        <v>4</v>
      </c>
      <c r="F518" s="7" t="s">
        <v>759</v>
      </c>
    </row>
    <row r="519" customFormat="false" ht="15" hidden="false" customHeight="false" outlineLevel="0" collapsed="false">
      <c r="A519" s="7" t="s">
        <v>757</v>
      </c>
      <c r="B519" s="7" t="s">
        <v>1273</v>
      </c>
      <c r="C519" s="7" t="s">
        <v>679</v>
      </c>
      <c r="D519" s="7" t="s">
        <v>204</v>
      </c>
      <c r="E519" s="7" t="n">
        <v>2</v>
      </c>
      <c r="F519" s="7" t="s">
        <v>759</v>
      </c>
    </row>
    <row r="520" customFormat="false" ht="15" hidden="false" customHeight="false" outlineLevel="0" collapsed="false">
      <c r="A520" s="7" t="s">
        <v>757</v>
      </c>
      <c r="B520" s="7" t="s">
        <v>1274</v>
      </c>
      <c r="C520" s="7" t="s">
        <v>685</v>
      </c>
      <c r="D520" s="7" t="s">
        <v>231</v>
      </c>
      <c r="E520" s="7" t="n">
        <v>4</v>
      </c>
      <c r="F520" s="7" t="s">
        <v>759</v>
      </c>
    </row>
    <row r="521" customFormat="false" ht="15" hidden="false" customHeight="false" outlineLevel="0" collapsed="false">
      <c r="A521" s="7" t="s">
        <v>757</v>
      </c>
      <c r="B521" s="7" t="s">
        <v>1275</v>
      </c>
      <c r="C521" s="7" t="s">
        <v>685</v>
      </c>
      <c r="D521" s="7" t="s">
        <v>231</v>
      </c>
      <c r="E521" s="7" t="n">
        <v>10</v>
      </c>
      <c r="F521" s="7" t="s">
        <v>759</v>
      </c>
    </row>
    <row r="522" customFormat="false" ht="15" hidden="false" customHeight="false" outlineLevel="0" collapsed="false">
      <c r="A522" s="7" t="s">
        <v>757</v>
      </c>
      <c r="B522" s="7" t="s">
        <v>1276</v>
      </c>
      <c r="C522" s="7" t="s">
        <v>688</v>
      </c>
      <c r="D522" s="7" t="s">
        <v>251</v>
      </c>
      <c r="E522" s="7" t="n">
        <v>4</v>
      </c>
      <c r="F522" s="7" t="s">
        <v>759</v>
      </c>
    </row>
    <row r="523" customFormat="false" ht="15" hidden="false" customHeight="false" outlineLevel="0" collapsed="false">
      <c r="A523" s="7" t="s">
        <v>757</v>
      </c>
      <c r="B523" s="7" t="s">
        <v>1277</v>
      </c>
      <c r="C523" s="7" t="s">
        <v>688</v>
      </c>
      <c r="D523" s="7" t="s">
        <v>251</v>
      </c>
      <c r="E523" s="7" t="n">
        <v>10</v>
      </c>
      <c r="F523" s="7" t="s">
        <v>759</v>
      </c>
    </row>
    <row r="524" customFormat="false" ht="15" hidden="false" customHeight="false" outlineLevel="0" collapsed="false">
      <c r="A524" s="7" t="s">
        <v>757</v>
      </c>
      <c r="B524" s="7" t="s">
        <v>1278</v>
      </c>
      <c r="C524" s="7" t="s">
        <v>688</v>
      </c>
      <c r="D524" s="7" t="s">
        <v>251</v>
      </c>
      <c r="E524" s="7" t="n">
        <v>4</v>
      </c>
      <c r="F524" s="7" t="s">
        <v>759</v>
      </c>
    </row>
    <row r="525" customFormat="false" ht="15" hidden="false" customHeight="false" outlineLevel="0" collapsed="false">
      <c r="A525" s="7" t="s">
        <v>757</v>
      </c>
      <c r="B525" s="7" t="s">
        <v>1279</v>
      </c>
      <c r="C525" s="7" t="s">
        <v>690</v>
      </c>
      <c r="D525" s="7" t="s">
        <v>258</v>
      </c>
      <c r="E525" s="7" t="n">
        <v>10</v>
      </c>
      <c r="F525" s="7" t="s">
        <v>759</v>
      </c>
    </row>
    <row r="526" customFormat="false" ht="15" hidden="false" customHeight="false" outlineLevel="0" collapsed="false">
      <c r="A526" s="7" t="s">
        <v>757</v>
      </c>
      <c r="B526" s="7" t="s">
        <v>1280</v>
      </c>
      <c r="C526" s="7" t="s">
        <v>690</v>
      </c>
      <c r="D526" s="7" t="s">
        <v>258</v>
      </c>
      <c r="E526" s="7" t="n">
        <v>4</v>
      </c>
      <c r="F526" s="7" t="s">
        <v>759</v>
      </c>
    </row>
    <row r="527" customFormat="false" ht="15" hidden="false" customHeight="false" outlineLevel="0" collapsed="false">
      <c r="A527" s="7" t="s">
        <v>757</v>
      </c>
      <c r="B527" s="7" t="s">
        <v>1281</v>
      </c>
      <c r="C527" s="7" t="s">
        <v>690</v>
      </c>
      <c r="D527" s="7" t="s">
        <v>258</v>
      </c>
      <c r="E527" s="7" t="n">
        <v>3</v>
      </c>
      <c r="F527" s="7" t="s">
        <v>759</v>
      </c>
    </row>
    <row r="528" customFormat="false" ht="15" hidden="false" customHeight="false" outlineLevel="0" collapsed="false">
      <c r="A528" s="7" t="s">
        <v>757</v>
      </c>
      <c r="B528" s="7" t="s">
        <v>1282</v>
      </c>
      <c r="C528" s="7" t="s">
        <v>692</v>
      </c>
      <c r="D528" s="7" t="s">
        <v>204</v>
      </c>
      <c r="E528" s="7" t="n">
        <v>4</v>
      </c>
      <c r="F528" s="7" t="s">
        <v>759</v>
      </c>
    </row>
    <row r="529" customFormat="false" ht="15" hidden="false" customHeight="false" outlineLevel="0" collapsed="false">
      <c r="A529" s="7" t="s">
        <v>757</v>
      </c>
      <c r="B529" s="7" t="s">
        <v>1283</v>
      </c>
      <c r="C529" s="7" t="s">
        <v>692</v>
      </c>
      <c r="D529" s="7" t="s">
        <v>204</v>
      </c>
      <c r="E529" s="7" t="n">
        <v>2</v>
      </c>
      <c r="F529" s="7" t="s">
        <v>759</v>
      </c>
    </row>
    <row r="530" customFormat="false" ht="15" hidden="false" customHeight="false" outlineLevel="0" collapsed="false">
      <c r="A530" s="7" t="s">
        <v>757</v>
      </c>
      <c r="B530" s="7" t="s">
        <v>1284</v>
      </c>
      <c r="C530" s="7" t="s">
        <v>695</v>
      </c>
      <c r="D530" s="7" t="s">
        <v>204</v>
      </c>
      <c r="E530" s="7" t="n">
        <v>4</v>
      </c>
      <c r="F530" s="7" t="s">
        <v>759</v>
      </c>
    </row>
    <row r="531" customFormat="false" ht="15" hidden="false" customHeight="false" outlineLevel="0" collapsed="false">
      <c r="A531" s="7" t="s">
        <v>757</v>
      </c>
      <c r="B531" s="7" t="s">
        <v>1285</v>
      </c>
      <c r="C531" s="7" t="s">
        <v>695</v>
      </c>
      <c r="D531" s="7" t="s">
        <v>204</v>
      </c>
      <c r="E531" s="7" t="n">
        <v>2</v>
      </c>
      <c r="F531" s="7" t="s">
        <v>759</v>
      </c>
    </row>
    <row r="532" customFormat="false" ht="15" hidden="false" customHeight="false" outlineLevel="0" collapsed="false">
      <c r="A532" s="7" t="s">
        <v>757</v>
      </c>
      <c r="B532" s="7" t="s">
        <v>1286</v>
      </c>
      <c r="C532" s="7" t="s">
        <v>697</v>
      </c>
      <c r="D532" s="7" t="s">
        <v>278</v>
      </c>
      <c r="E532" s="7" t="n">
        <v>6</v>
      </c>
      <c r="F532" s="7" t="s">
        <v>759</v>
      </c>
    </row>
    <row r="533" customFormat="false" ht="15" hidden="false" customHeight="false" outlineLevel="0" collapsed="false">
      <c r="A533" s="7" t="s">
        <v>757</v>
      </c>
      <c r="B533" s="7" t="s">
        <v>1287</v>
      </c>
      <c r="C533" s="7" t="s">
        <v>697</v>
      </c>
      <c r="D533" s="7" t="s">
        <v>278</v>
      </c>
      <c r="E533" s="7" t="n">
        <v>2</v>
      </c>
      <c r="F533" s="7" t="s">
        <v>759</v>
      </c>
    </row>
    <row r="534" customFormat="false" ht="15" hidden="false" customHeight="false" outlineLevel="0" collapsed="false">
      <c r="A534" s="7" t="s">
        <v>757</v>
      </c>
      <c r="B534" s="7" t="s">
        <v>1288</v>
      </c>
      <c r="C534" s="7" t="s">
        <v>702</v>
      </c>
      <c r="D534" s="7" t="s">
        <v>231</v>
      </c>
      <c r="E534" s="7" t="n">
        <v>4</v>
      </c>
      <c r="F534" s="7" t="s">
        <v>759</v>
      </c>
    </row>
    <row r="535" customFormat="false" ht="15" hidden="false" customHeight="false" outlineLevel="0" collapsed="false">
      <c r="A535" s="7" t="s">
        <v>757</v>
      </c>
      <c r="B535" s="7" t="s">
        <v>1289</v>
      </c>
      <c r="C535" s="7" t="s">
        <v>702</v>
      </c>
      <c r="D535" s="7" t="s">
        <v>231</v>
      </c>
      <c r="E535" s="7" t="n">
        <v>10</v>
      </c>
      <c r="F535" s="7" t="s">
        <v>759</v>
      </c>
    </row>
    <row r="536" customFormat="false" ht="15" hidden="false" customHeight="false" outlineLevel="0" collapsed="false">
      <c r="A536" s="7" t="s">
        <v>757</v>
      </c>
      <c r="B536" s="7" t="s">
        <v>1290</v>
      </c>
      <c r="C536" s="7" t="s">
        <v>705</v>
      </c>
      <c r="D536" s="7" t="s">
        <v>246</v>
      </c>
      <c r="E536" s="7" t="n">
        <v>4</v>
      </c>
      <c r="F536" s="7" t="s">
        <v>759</v>
      </c>
    </row>
    <row r="537" customFormat="false" ht="15" hidden="false" customHeight="false" outlineLevel="0" collapsed="false">
      <c r="A537" s="7" t="s">
        <v>757</v>
      </c>
      <c r="B537" s="7" t="s">
        <v>1291</v>
      </c>
      <c r="C537" s="7" t="s">
        <v>705</v>
      </c>
      <c r="D537" s="7" t="s">
        <v>246</v>
      </c>
      <c r="E537" s="7" t="n">
        <v>10</v>
      </c>
      <c r="F537" s="7" t="s">
        <v>759</v>
      </c>
    </row>
    <row r="538" customFormat="false" ht="15" hidden="false" customHeight="false" outlineLevel="0" collapsed="false">
      <c r="A538" s="7" t="s">
        <v>757</v>
      </c>
      <c r="B538" s="7" t="s">
        <v>1292</v>
      </c>
      <c r="C538" s="7" t="s">
        <v>705</v>
      </c>
      <c r="D538" s="7" t="s">
        <v>246</v>
      </c>
      <c r="E538" s="7" t="n">
        <v>4</v>
      </c>
      <c r="F538" s="7" t="s">
        <v>759</v>
      </c>
    </row>
    <row r="539" customFormat="false" ht="15" hidden="false" customHeight="false" outlineLevel="0" collapsed="false">
      <c r="A539" s="7" t="s">
        <v>757</v>
      </c>
      <c r="B539" s="7" t="s">
        <v>1293</v>
      </c>
      <c r="C539" s="7" t="s">
        <v>707</v>
      </c>
      <c r="D539" s="7" t="s">
        <v>254</v>
      </c>
      <c r="E539" s="7" t="n">
        <v>10</v>
      </c>
      <c r="F539" s="7" t="s">
        <v>759</v>
      </c>
    </row>
    <row r="540" customFormat="false" ht="15" hidden="false" customHeight="false" outlineLevel="0" collapsed="false">
      <c r="A540" s="7" t="s">
        <v>757</v>
      </c>
      <c r="B540" s="7" t="s">
        <v>1294</v>
      </c>
      <c r="C540" s="7" t="s">
        <v>707</v>
      </c>
      <c r="D540" s="7" t="s">
        <v>254</v>
      </c>
      <c r="E540" s="7" t="n">
        <v>4</v>
      </c>
      <c r="F540" s="7" t="s">
        <v>759</v>
      </c>
    </row>
    <row r="541" customFormat="false" ht="15" hidden="false" customHeight="false" outlineLevel="0" collapsed="false">
      <c r="A541" s="7" t="s">
        <v>757</v>
      </c>
      <c r="B541" s="7" t="s">
        <v>1295</v>
      </c>
      <c r="C541" s="7" t="s">
        <v>707</v>
      </c>
      <c r="D541" s="7" t="s">
        <v>254</v>
      </c>
      <c r="E541" s="7" t="n">
        <v>3</v>
      </c>
      <c r="F541" s="7" t="s">
        <v>759</v>
      </c>
    </row>
    <row r="542" customFormat="false" ht="15" hidden="false" customHeight="false" outlineLevel="0" collapsed="false">
      <c r="A542" s="7" t="s">
        <v>757</v>
      </c>
      <c r="B542" s="7" t="s">
        <v>1296</v>
      </c>
      <c r="C542" s="7" t="s">
        <v>708</v>
      </c>
      <c r="D542" s="7" t="s">
        <v>251</v>
      </c>
      <c r="E542" s="7" t="n">
        <v>4</v>
      </c>
      <c r="F542" s="7" t="s">
        <v>759</v>
      </c>
    </row>
    <row r="543" customFormat="false" ht="15" hidden="false" customHeight="false" outlineLevel="0" collapsed="false">
      <c r="A543" s="7" t="s">
        <v>757</v>
      </c>
      <c r="B543" s="7" t="s">
        <v>1297</v>
      </c>
      <c r="C543" s="7" t="s">
        <v>708</v>
      </c>
      <c r="D543" s="7" t="s">
        <v>251</v>
      </c>
      <c r="E543" s="7" t="n">
        <v>10</v>
      </c>
      <c r="F543" s="7" t="s">
        <v>759</v>
      </c>
    </row>
    <row r="544" customFormat="false" ht="15" hidden="false" customHeight="false" outlineLevel="0" collapsed="false">
      <c r="A544" s="7" t="s">
        <v>757</v>
      </c>
      <c r="B544" s="7" t="s">
        <v>1298</v>
      </c>
      <c r="C544" s="7" t="s">
        <v>708</v>
      </c>
      <c r="D544" s="7" t="s">
        <v>251</v>
      </c>
      <c r="E544" s="7" t="n">
        <v>4</v>
      </c>
      <c r="F544" s="7" t="s">
        <v>759</v>
      </c>
    </row>
    <row r="545" customFormat="false" ht="15" hidden="false" customHeight="false" outlineLevel="0" collapsed="false">
      <c r="A545" s="7" t="s">
        <v>757</v>
      </c>
      <c r="B545" s="7" t="s">
        <v>1299</v>
      </c>
      <c r="C545" s="7" t="s">
        <v>711</v>
      </c>
      <c r="D545" s="7" t="s">
        <v>251</v>
      </c>
      <c r="E545" s="7" t="n">
        <v>4</v>
      </c>
      <c r="F545" s="7" t="s">
        <v>759</v>
      </c>
    </row>
    <row r="546" customFormat="false" ht="15" hidden="false" customHeight="false" outlineLevel="0" collapsed="false">
      <c r="A546" s="7" t="s">
        <v>757</v>
      </c>
      <c r="B546" s="7" t="s">
        <v>1300</v>
      </c>
      <c r="C546" s="7" t="s">
        <v>711</v>
      </c>
      <c r="D546" s="7" t="s">
        <v>251</v>
      </c>
      <c r="E546" s="7" t="n">
        <v>10</v>
      </c>
      <c r="F546" s="7" t="s">
        <v>759</v>
      </c>
    </row>
    <row r="547" customFormat="false" ht="15" hidden="false" customHeight="false" outlineLevel="0" collapsed="false">
      <c r="A547" s="7" t="s">
        <v>757</v>
      </c>
      <c r="B547" s="7" t="s">
        <v>1301</v>
      </c>
      <c r="C547" s="7" t="s">
        <v>711</v>
      </c>
      <c r="D547" s="7" t="s">
        <v>251</v>
      </c>
      <c r="E547" s="7" t="n">
        <v>4</v>
      </c>
      <c r="F547" s="7" t="s">
        <v>759</v>
      </c>
    </row>
    <row r="548" customFormat="false" ht="15" hidden="false" customHeight="false" outlineLevel="0" collapsed="false">
      <c r="A548" s="7" t="s">
        <v>757</v>
      </c>
      <c r="B548" s="7" t="s">
        <v>1302</v>
      </c>
      <c r="C548" s="7" t="s">
        <v>713</v>
      </c>
      <c r="D548" s="7" t="s">
        <v>231</v>
      </c>
      <c r="E548" s="7" t="n">
        <v>4</v>
      </c>
      <c r="F548" s="7" t="s">
        <v>759</v>
      </c>
    </row>
    <row r="549" customFormat="false" ht="15" hidden="false" customHeight="false" outlineLevel="0" collapsed="false">
      <c r="A549" s="7" t="s">
        <v>757</v>
      </c>
      <c r="B549" s="7" t="s">
        <v>1303</v>
      </c>
      <c r="C549" s="7" t="s">
        <v>713</v>
      </c>
      <c r="D549" s="7" t="s">
        <v>231</v>
      </c>
      <c r="E549" s="7" t="n">
        <v>6</v>
      </c>
      <c r="F549" s="7" t="s">
        <v>759</v>
      </c>
    </row>
    <row r="550" customFormat="false" ht="15" hidden="false" customHeight="false" outlineLevel="0" collapsed="false">
      <c r="A550" s="7" t="s">
        <v>757</v>
      </c>
      <c r="B550" s="7" t="s">
        <v>1304</v>
      </c>
      <c r="C550" s="7" t="s">
        <v>717</v>
      </c>
      <c r="D550" s="7" t="s">
        <v>246</v>
      </c>
      <c r="E550" s="7" t="n">
        <v>4</v>
      </c>
      <c r="F550" s="7" t="s">
        <v>759</v>
      </c>
    </row>
    <row r="551" customFormat="false" ht="15" hidden="false" customHeight="false" outlineLevel="0" collapsed="false">
      <c r="A551" s="7" t="s">
        <v>757</v>
      </c>
      <c r="B551" s="7" t="s">
        <v>1305</v>
      </c>
      <c r="C551" s="7" t="s">
        <v>717</v>
      </c>
      <c r="D551" s="7" t="s">
        <v>246</v>
      </c>
      <c r="E551" s="7" t="n">
        <v>10</v>
      </c>
      <c r="F551" s="7" t="s">
        <v>759</v>
      </c>
    </row>
    <row r="552" customFormat="false" ht="15" hidden="false" customHeight="false" outlineLevel="0" collapsed="false">
      <c r="A552" s="7" t="s">
        <v>757</v>
      </c>
      <c r="B552" s="7" t="s">
        <v>1306</v>
      </c>
      <c r="C552" s="7" t="s">
        <v>717</v>
      </c>
      <c r="D552" s="7" t="s">
        <v>246</v>
      </c>
      <c r="E552" s="7" t="n">
        <v>4</v>
      </c>
      <c r="F552" s="7" t="s">
        <v>759</v>
      </c>
    </row>
    <row r="553" customFormat="false" ht="15" hidden="false" customHeight="false" outlineLevel="0" collapsed="false">
      <c r="A553" s="7" t="s">
        <v>757</v>
      </c>
      <c r="B553" s="7" t="s">
        <v>1307</v>
      </c>
      <c r="C553" s="7" t="s">
        <v>721</v>
      </c>
      <c r="D553" s="7" t="s">
        <v>254</v>
      </c>
      <c r="E553" s="7" t="n">
        <v>10</v>
      </c>
      <c r="F553" s="7" t="s">
        <v>759</v>
      </c>
    </row>
    <row r="554" customFormat="false" ht="15" hidden="false" customHeight="false" outlineLevel="0" collapsed="false">
      <c r="A554" s="7" t="s">
        <v>757</v>
      </c>
      <c r="B554" s="7" t="s">
        <v>1308</v>
      </c>
      <c r="C554" s="7" t="s">
        <v>721</v>
      </c>
      <c r="D554" s="7" t="s">
        <v>254</v>
      </c>
      <c r="E554" s="7" t="n">
        <v>4</v>
      </c>
      <c r="F554" s="7" t="s">
        <v>759</v>
      </c>
    </row>
    <row r="555" customFormat="false" ht="15" hidden="false" customHeight="false" outlineLevel="0" collapsed="false">
      <c r="A555" s="7" t="s">
        <v>757</v>
      </c>
      <c r="B555" s="7" t="s">
        <v>1309</v>
      </c>
      <c r="C555" s="7" t="s">
        <v>721</v>
      </c>
      <c r="D555" s="7" t="s">
        <v>254</v>
      </c>
      <c r="E555" s="7" t="n">
        <v>3</v>
      </c>
      <c r="F555" s="7" t="s">
        <v>759</v>
      </c>
    </row>
    <row r="556" customFormat="false" ht="15" hidden="false" customHeight="false" outlineLevel="0" collapsed="false">
      <c r="A556" s="7" t="s">
        <v>757</v>
      </c>
      <c r="B556" s="7" t="s">
        <v>1310</v>
      </c>
      <c r="C556" s="7" t="s">
        <v>724</v>
      </c>
      <c r="D556" s="7" t="s">
        <v>251</v>
      </c>
      <c r="E556" s="7" t="n">
        <v>4</v>
      </c>
      <c r="F556" s="7" t="s">
        <v>759</v>
      </c>
    </row>
    <row r="557" customFormat="false" ht="15" hidden="false" customHeight="false" outlineLevel="0" collapsed="false">
      <c r="A557" s="7" t="s">
        <v>757</v>
      </c>
      <c r="B557" s="7" t="s">
        <v>1311</v>
      </c>
      <c r="C557" s="7" t="s">
        <v>724</v>
      </c>
      <c r="D557" s="7" t="s">
        <v>251</v>
      </c>
      <c r="E557" s="7" t="n">
        <v>8</v>
      </c>
      <c r="F557" s="7" t="s">
        <v>759</v>
      </c>
    </row>
    <row r="558" customFormat="false" ht="15" hidden="false" customHeight="false" outlineLevel="0" collapsed="false">
      <c r="A558" s="7" t="s">
        <v>757</v>
      </c>
      <c r="B558" s="7" t="s">
        <v>1312</v>
      </c>
      <c r="C558" s="7" t="s">
        <v>724</v>
      </c>
      <c r="D558" s="7" t="s">
        <v>251</v>
      </c>
      <c r="E558" s="7" t="n">
        <v>4</v>
      </c>
      <c r="F558" s="7" t="s">
        <v>759</v>
      </c>
    </row>
    <row r="559" customFormat="false" ht="15" hidden="false" customHeight="false" outlineLevel="0" collapsed="false">
      <c r="A559" s="7" t="s">
        <v>757</v>
      </c>
      <c r="B559" s="7" t="s">
        <v>1313</v>
      </c>
      <c r="C559" s="7" t="s">
        <v>726</v>
      </c>
      <c r="D559" s="7" t="s">
        <v>251</v>
      </c>
      <c r="E559" s="7" t="n">
        <v>4</v>
      </c>
      <c r="F559" s="7" t="s">
        <v>759</v>
      </c>
    </row>
    <row r="560" customFormat="false" ht="15" hidden="false" customHeight="false" outlineLevel="0" collapsed="false">
      <c r="A560" s="7" t="s">
        <v>757</v>
      </c>
      <c r="B560" s="7" t="s">
        <v>1314</v>
      </c>
      <c r="C560" s="7" t="s">
        <v>726</v>
      </c>
      <c r="D560" s="7" t="s">
        <v>251</v>
      </c>
      <c r="E560" s="7" t="n">
        <v>10</v>
      </c>
      <c r="F560" s="7" t="s">
        <v>759</v>
      </c>
    </row>
    <row r="561" customFormat="false" ht="15" hidden="false" customHeight="false" outlineLevel="0" collapsed="false">
      <c r="A561" s="7" t="s">
        <v>757</v>
      </c>
      <c r="B561" s="7" t="s">
        <v>1315</v>
      </c>
      <c r="C561" s="7" t="s">
        <v>726</v>
      </c>
      <c r="D561" s="7" t="s">
        <v>251</v>
      </c>
      <c r="E561" s="7" t="n">
        <v>4</v>
      </c>
      <c r="F561" s="7" t="s">
        <v>759</v>
      </c>
    </row>
    <row r="562" customFormat="false" ht="15" hidden="false" customHeight="false" outlineLevel="0" collapsed="false">
      <c r="A562" s="7" t="s">
        <v>757</v>
      </c>
      <c r="B562" s="7" t="s">
        <v>1316</v>
      </c>
      <c r="C562" s="7" t="s">
        <v>728</v>
      </c>
      <c r="D562" s="7" t="s">
        <v>204</v>
      </c>
      <c r="E562" s="7" t="n">
        <v>4</v>
      </c>
      <c r="F562" s="7" t="s">
        <v>759</v>
      </c>
    </row>
    <row r="563" customFormat="false" ht="15" hidden="false" customHeight="false" outlineLevel="0" collapsed="false">
      <c r="A563" s="7" t="s">
        <v>757</v>
      </c>
      <c r="B563" s="7" t="s">
        <v>1317</v>
      </c>
      <c r="C563" s="7" t="s">
        <v>728</v>
      </c>
      <c r="D563" s="7" t="s">
        <v>204</v>
      </c>
      <c r="E563" s="7" t="n">
        <v>2</v>
      </c>
      <c r="F563" s="7" t="s">
        <v>759</v>
      </c>
    </row>
    <row r="564" customFormat="false" ht="15" hidden="false" customHeight="false" outlineLevel="0" collapsed="false">
      <c r="A564" s="7" t="s">
        <v>757</v>
      </c>
      <c r="B564" s="7" t="s">
        <v>1318</v>
      </c>
      <c r="C564" s="7" t="s">
        <v>736</v>
      </c>
      <c r="D564" s="7" t="s">
        <v>251</v>
      </c>
      <c r="E564" s="7" t="n">
        <v>4</v>
      </c>
      <c r="F564" s="7" t="s">
        <v>759</v>
      </c>
    </row>
    <row r="565" customFormat="false" ht="15" hidden="false" customHeight="false" outlineLevel="0" collapsed="false">
      <c r="A565" s="7" t="s">
        <v>757</v>
      </c>
      <c r="B565" s="7" t="s">
        <v>1319</v>
      </c>
      <c r="C565" s="7" t="s">
        <v>736</v>
      </c>
      <c r="D565" s="7" t="s">
        <v>251</v>
      </c>
      <c r="E565" s="7" t="n">
        <v>16</v>
      </c>
      <c r="F565" s="7" t="s">
        <v>759</v>
      </c>
    </row>
    <row r="566" customFormat="false" ht="15" hidden="false" customHeight="false" outlineLevel="0" collapsed="false">
      <c r="A566" s="7" t="s">
        <v>757</v>
      </c>
      <c r="B566" s="7" t="s">
        <v>1320</v>
      </c>
      <c r="C566" s="7" t="s">
        <v>736</v>
      </c>
      <c r="D566" s="7" t="s">
        <v>251</v>
      </c>
      <c r="E566" s="7" t="n">
        <v>4</v>
      </c>
      <c r="F566" s="7" t="s">
        <v>759</v>
      </c>
    </row>
    <row r="567" customFormat="false" ht="15" hidden="false" customHeight="false" outlineLevel="0" collapsed="false">
      <c r="A567" s="7" t="s">
        <v>757</v>
      </c>
      <c r="B567" s="7" t="s">
        <v>1321</v>
      </c>
      <c r="C567" s="7" t="s">
        <v>740</v>
      </c>
      <c r="D567" s="7" t="s">
        <v>246</v>
      </c>
      <c r="E567" s="7" t="n">
        <v>4</v>
      </c>
      <c r="F567" s="7" t="s">
        <v>759</v>
      </c>
    </row>
    <row r="568" customFormat="false" ht="15" hidden="false" customHeight="false" outlineLevel="0" collapsed="false">
      <c r="A568" s="7" t="s">
        <v>757</v>
      </c>
      <c r="B568" s="7" t="s">
        <v>1322</v>
      </c>
      <c r="C568" s="7" t="s">
        <v>740</v>
      </c>
      <c r="D568" s="7" t="s">
        <v>246</v>
      </c>
      <c r="E568" s="7" t="n">
        <v>8</v>
      </c>
      <c r="F568" s="7" t="s">
        <v>759</v>
      </c>
    </row>
    <row r="569" customFormat="false" ht="15" hidden="false" customHeight="false" outlineLevel="0" collapsed="false">
      <c r="A569" s="7" t="s">
        <v>757</v>
      </c>
      <c r="B569" s="7" t="s">
        <v>1323</v>
      </c>
      <c r="C569" s="7" t="s">
        <v>740</v>
      </c>
      <c r="D569" s="7" t="s">
        <v>246</v>
      </c>
      <c r="E569" s="7" t="n">
        <v>4</v>
      </c>
      <c r="F569" s="7" t="s">
        <v>759</v>
      </c>
    </row>
    <row r="570" customFormat="false" ht="15" hidden="false" customHeight="false" outlineLevel="0" collapsed="false">
      <c r="A570" s="7" t="s">
        <v>757</v>
      </c>
      <c r="B570" s="7" t="s">
        <v>1324</v>
      </c>
      <c r="C570" s="7" t="s">
        <v>742</v>
      </c>
      <c r="D570" s="7" t="s">
        <v>231</v>
      </c>
      <c r="E570" s="7" t="n">
        <v>4</v>
      </c>
      <c r="F570" s="7" t="s">
        <v>759</v>
      </c>
    </row>
    <row r="571" customFormat="false" ht="15" hidden="false" customHeight="false" outlineLevel="0" collapsed="false">
      <c r="A571" s="7" t="s">
        <v>757</v>
      </c>
      <c r="B571" s="7" t="s">
        <v>1325</v>
      </c>
      <c r="C571" s="7" t="s">
        <v>742</v>
      </c>
      <c r="D571" s="7" t="s">
        <v>231</v>
      </c>
      <c r="E571" s="7" t="n">
        <v>6</v>
      </c>
      <c r="F571" s="7" t="s">
        <v>759</v>
      </c>
    </row>
    <row r="572" customFormat="false" ht="15" hidden="false" customHeight="false" outlineLevel="0" collapsed="false">
      <c r="A572" s="7" t="s">
        <v>757</v>
      </c>
      <c r="B572" s="7" t="s">
        <v>1326</v>
      </c>
      <c r="C572" s="7" t="s">
        <v>745</v>
      </c>
      <c r="D572" s="7" t="s">
        <v>246</v>
      </c>
      <c r="E572" s="7" t="n">
        <v>4</v>
      </c>
      <c r="F572" s="7" t="s">
        <v>759</v>
      </c>
    </row>
    <row r="573" customFormat="false" ht="15" hidden="false" customHeight="false" outlineLevel="0" collapsed="false">
      <c r="A573" s="7" t="s">
        <v>757</v>
      </c>
      <c r="B573" s="7" t="s">
        <v>1327</v>
      </c>
      <c r="C573" s="7" t="s">
        <v>745</v>
      </c>
      <c r="D573" s="7" t="s">
        <v>246</v>
      </c>
      <c r="E573" s="7" t="n">
        <v>10</v>
      </c>
      <c r="F573" s="7" t="s">
        <v>759</v>
      </c>
    </row>
    <row r="574" customFormat="false" ht="15" hidden="false" customHeight="false" outlineLevel="0" collapsed="false">
      <c r="A574" s="7" t="s">
        <v>757</v>
      </c>
      <c r="B574" s="7" t="s">
        <v>1328</v>
      </c>
      <c r="C574" s="7" t="s">
        <v>745</v>
      </c>
      <c r="D574" s="7" t="s">
        <v>246</v>
      </c>
      <c r="E574" s="7" t="n">
        <v>4</v>
      </c>
      <c r="F574" s="7" t="s">
        <v>759</v>
      </c>
    </row>
    <row r="575" customFormat="false" ht="15" hidden="false" customHeight="false" outlineLevel="0" collapsed="false">
      <c r="A575" s="7" t="s">
        <v>757</v>
      </c>
      <c r="B575" s="7" t="s">
        <v>1329</v>
      </c>
      <c r="C575" s="7" t="s">
        <v>748</v>
      </c>
      <c r="D575" s="7" t="s">
        <v>254</v>
      </c>
      <c r="E575" s="7" t="n">
        <v>8</v>
      </c>
      <c r="F575" s="7" t="s">
        <v>759</v>
      </c>
    </row>
    <row r="576" customFormat="false" ht="15" hidden="false" customHeight="false" outlineLevel="0" collapsed="false">
      <c r="A576" s="7" t="s">
        <v>757</v>
      </c>
      <c r="B576" s="7" t="s">
        <v>1330</v>
      </c>
      <c r="C576" s="7" t="s">
        <v>748</v>
      </c>
      <c r="D576" s="7" t="s">
        <v>254</v>
      </c>
      <c r="E576" s="7" t="n">
        <v>4</v>
      </c>
      <c r="F576" s="7" t="s">
        <v>759</v>
      </c>
    </row>
    <row r="577" customFormat="false" ht="15" hidden="false" customHeight="false" outlineLevel="0" collapsed="false">
      <c r="A577" s="7" t="s">
        <v>757</v>
      </c>
      <c r="B577" s="7" t="s">
        <v>1331</v>
      </c>
      <c r="C577" s="7" t="s">
        <v>748</v>
      </c>
      <c r="D577" s="7" t="s">
        <v>254</v>
      </c>
      <c r="E577" s="7" t="n">
        <v>3</v>
      </c>
      <c r="F577" s="7" t="s">
        <v>759</v>
      </c>
    </row>
    <row r="578" customFormat="false" ht="15" hidden="false" customHeight="false" outlineLevel="0" collapsed="false">
      <c r="A578" s="7" t="s">
        <v>757</v>
      </c>
      <c r="B578" s="7" t="s">
        <v>1332</v>
      </c>
      <c r="C578" s="7" t="s">
        <v>750</v>
      </c>
      <c r="D578" s="7" t="s">
        <v>204</v>
      </c>
      <c r="E578" s="7" t="n">
        <v>4</v>
      </c>
      <c r="F578" s="7" t="s">
        <v>759</v>
      </c>
    </row>
    <row r="579" customFormat="false" ht="15" hidden="false" customHeight="false" outlineLevel="0" collapsed="false">
      <c r="A579" s="7" t="s">
        <v>757</v>
      </c>
      <c r="B579" s="7" t="s">
        <v>1333</v>
      </c>
      <c r="C579" s="7" t="s">
        <v>750</v>
      </c>
      <c r="D579" s="7" t="s">
        <v>204</v>
      </c>
      <c r="E579" s="7" t="n">
        <v>2</v>
      </c>
      <c r="F579" s="7" t="s">
        <v>759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4" min="2" style="0" width="7"/>
    <col collapsed="false" customWidth="true" hidden="false" outlineLevel="0" max="25" min="25" style="0" width="10"/>
  </cols>
  <sheetData>
    <row r="1" customFormat="false" ht="27.75" hidden="false" customHeight="true" outlineLevel="0" collapsed="false">
      <c r="A1" s="1" t="s">
        <v>1334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.75" hidden="false" customHeight="true" outlineLevel="0" collapsed="false">
      <c r="A2" s="2" t="s">
        <v>1335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4" customFormat="false" ht="27.75" hidden="false" customHeight="true" outlineLevel="0" collapsed="false">
      <c r="A4" s="6" t="s">
        <v>1336</v>
      </c>
      <c r="B4" s="6" t="s">
        <v>1337</v>
      </c>
      <c r="C4" s="6" t="s">
        <v>1338</v>
      </c>
      <c r="D4" s="6" t="s">
        <v>1339</v>
      </c>
      <c r="E4" s="6" t="s">
        <v>1340</v>
      </c>
      <c r="F4" s="6" t="s">
        <v>1341</v>
      </c>
      <c r="G4" s="6" t="s">
        <v>1342</v>
      </c>
      <c r="H4" s="6" t="s">
        <v>1343</v>
      </c>
      <c r="I4" s="6" t="s">
        <v>1344</v>
      </c>
      <c r="J4" s="6" t="s">
        <v>1345</v>
      </c>
      <c r="K4" s="6" t="s">
        <v>1346</v>
      </c>
      <c r="L4" s="6" t="s">
        <v>1347</v>
      </c>
      <c r="M4" s="6" t="s">
        <v>1348</v>
      </c>
      <c r="N4" s="6" t="s">
        <v>1349</v>
      </c>
      <c r="O4" s="6" t="s">
        <v>1350</v>
      </c>
      <c r="P4" s="6" t="s">
        <v>1351</v>
      </c>
      <c r="Q4" s="6" t="s">
        <v>1352</v>
      </c>
      <c r="R4" s="6" t="s">
        <v>1353</v>
      </c>
      <c r="S4" s="6" t="s">
        <v>1354</v>
      </c>
      <c r="T4" s="6" t="s">
        <v>1355</v>
      </c>
      <c r="U4" s="6" t="s">
        <v>1356</v>
      </c>
      <c r="V4" s="6" t="s">
        <v>1357</v>
      </c>
      <c r="W4" s="6" t="s">
        <v>1358</v>
      </c>
      <c r="X4" s="6" t="s">
        <v>1359</v>
      </c>
      <c r="Y4" s="6" t="s">
        <v>1360</v>
      </c>
    </row>
    <row r="5" customFormat="false" ht="15" hidden="false" customHeight="false" outlineLevel="0" collapsed="false">
      <c r="A5" s="12" t="s">
        <v>254</v>
      </c>
      <c r="B5" s="13" t="n">
        <f aca="false">SUMIFS(Stories!J:J,Stories!E:E,"DEV-FE-1",Stories!G:G,"Sprint 0 — P0 close / Kick-off · Team onboarded, environments ready, CI/C")</f>
        <v>3</v>
      </c>
      <c r="C5" s="13" t="n">
        <f aca="false">SUMIFS(Stories!J:J,Stories!E:E,"DEV-FE-1",Stories!G:G,"Sprint 1 — P1 Discover · Discovery M1 — employee records &amp; org st")</f>
        <v>3</v>
      </c>
      <c r="D5" s="13" t="n">
        <f aca="false">SUMIFS(Stories!J:J,Stories!E:E,"DEV-FE-1",Stories!G:G,"Sprint 2 — P1 Discover · Discovery M1 — positions &amp; contracts + M")</f>
        <v>0</v>
      </c>
      <c r="E5" s="13" t="n">
        <f aca="false">SUMIFS(Stories!J:J,Stories!E:E,"DEV-FE-1",Stories!G:G,"Sprint 3 — P1→P2 Design · Design system complete + all M1 wirefram")</f>
        <v>5</v>
      </c>
      <c r="F5" s="13" t="n">
        <f aca="false">SUMIFS(Stories!J:J,Stories!E:E,"DEV-FE-1",Stories!G:G,"Sprint 4 — P2 Foundations · Tenancy model + SSO + RBAC scaffold")</f>
        <v>8</v>
      </c>
      <c r="G5" s="13" t="n">
        <f aca="false">SUMIFS(Stories!J:J,Stories!E:E,"DEV-FE-1",Stories!G:G,"Sprint 5 — P2 Foundations · Audit log + platform shell + nav")</f>
        <v>13</v>
      </c>
      <c r="H5" s="13" t="n">
        <f aca="false">SUMIFS(Stories!J:J,Stories!E:E,"DEV-FE-1",Stories!G:G,"Sprint 6 — P3 Core Build · Employee records CRUD + search + data mo")</f>
        <v>13</v>
      </c>
      <c r="I5" s="13" t="n">
        <f aca="false">SUMIFS(Stories!J:J,Stories!E:E,"DEV-FE-1",Stories!G:G,"Sprint 7 — P3 Core Build · Org structure + positions + assignment")</f>
        <v>13</v>
      </c>
      <c r="J5" s="13" t="n">
        <f aca="false">SUMIFS(Stories!J:J,Stories!E:E,"DEV-FE-1",Stories!G:G,"Sprint 8 — P3 Core Build · Contracts + documents vault + signed URL")</f>
        <v>15</v>
      </c>
      <c r="K5" s="13" t="n">
        <f aca="false">SUMIFS(Stories!J:J,Stories!E:E,"DEV-FE-1",Stories!G:G,"Sprint 9 — P3 Core Build · Lifecycle events + approvals engine + no")</f>
        <v>13</v>
      </c>
      <c r="L5" s="13" t="n">
        <f aca="false">SUMIFS(Stories!J:J,Stories!E:E,"DEV-FE-1",Stories!G:G,"Sprint 10 — P3→P4 · M1 polish + bulk import/export + M10 sca")</f>
        <v>15</v>
      </c>
      <c r="M5" s="13" t="n">
        <f aca="false">SUMIFS(Stories!J:J,Stories!E:E,"DEV-FE-1",Stories!G:G,"Sprint 11 — P4 Adjacent · M10 users, roles, permissions admin")</f>
        <v>13</v>
      </c>
      <c r="N5" s="13" t="n">
        <f aca="false">SUMIFS(Stories!J:J,Stories!E:E,"DEV-FE-1",Stories!G:G,"Sprint 12 — P4 Adjacent · M10 tenant config + org chart admin + ho")</f>
        <v>13</v>
      </c>
      <c r="O5" s="13" t="n">
        <f aca="false">SUMIFS(Stories!J:J,Stories!E:E,"DEV-FE-1",Stories!G:G,"Sprint 13 — P4 Adjacent · M10 audit dashboard + integrations + web")</f>
        <v>13</v>
      </c>
      <c r="P5" s="13" t="n">
        <f aca="false">SUMIFS(Stories!J:J,Stories!E:E,"DEV-FE-1",Stories!G:G,"Sprint 14 — P4→P5 · Feature-freeze — a11y + bundle + perf op")</f>
        <v>10</v>
      </c>
      <c r="Q5" s="13" t="n">
        <f aca="false">SUMIFS(Stories!J:J,Stories!E:E,"DEV-FE-1",Stories!G:G,"Sprint 15 — P5 Harden · Load test + security scan fixes + DR dri")</f>
        <v>5</v>
      </c>
      <c r="R5" s="13" t="n">
        <f aca="false">SUMIFS(Stories!J:J,Stories!E:E,"DEV-FE-1",Stories!G:G,"Sprint 16 — P5 Harden · Pen-test fixes + data migration dry-runs")</f>
        <v>0</v>
      </c>
      <c r="S5" s="13" t="n">
        <f aca="false">SUMIFS(Stories!J:J,Stories!E:E,"DEV-FE-1",Stories!G:G,"Sprint 17 — P5→P6 · Holiday-reduced · UAT prep — scenarios, ")</f>
        <v>3</v>
      </c>
      <c r="T5" s="13" t="n">
        <f aca="false">SUMIFS(Stories!J:J,Stories!E:E,"DEV-FE-1",Stories!G:G,"Sprint 18 — P6 UAT · UAT round 1 + defect burndown")</f>
        <v>8</v>
      </c>
      <c r="U5" s="13" t="n">
        <f aca="false">SUMIFS(Stories!J:J,Stories!E:E,"DEV-FE-1",Stories!G:G,"Sprint 19 — P6 UAT · UAT round 2 + training content")</f>
        <v>0</v>
      </c>
      <c r="V5" s="13" t="n">
        <f aca="false">SUMIFS(Stories!J:J,Stories!E:E,"DEV-FE-1",Stories!G:G,"Sprint 20 — P6 UAT · UAT round 3 + cutover rehearsal")</f>
        <v>5</v>
      </c>
      <c r="W5" s="13" t="n">
        <f aca="false">SUMIFS(Stories!J:J,Stories!E:E,"DEV-FE-1",Stories!G:G,"Sprint 21 — P7 Cutover · Final fixes + go-live prep + rollback re")</f>
        <v>5</v>
      </c>
      <c r="X5" s="13" t="n">
        <f aca="false">SUMIFS(Stories!J:J,Stories!E:E,"DEV-FE-1",Stories!G:G,"Sprint 22 — P7 Go-Live · GO-LIVE 14-Mar-2027 + Day-1 hypercare")</f>
        <v>3</v>
      </c>
      <c r="Y5" s="14" t="n">
        <f aca="false">SUM(B5:X5)</f>
        <v>179</v>
      </c>
    </row>
    <row r="6" customFormat="false" ht="15" hidden="false" customHeight="false" outlineLevel="0" collapsed="false">
      <c r="A6" s="12" t="s">
        <v>258</v>
      </c>
      <c r="B6" s="13" t="n">
        <f aca="false">SUMIFS(Stories!J:J,Stories!E:E,"DEV-FE-2",Stories!G:G,"Sprint 0 — P0 close / Kick-off · Team onboarded, environments ready, CI/C")</f>
        <v>3</v>
      </c>
      <c r="C6" s="13" t="n">
        <f aca="false">SUMIFS(Stories!J:J,Stories!E:E,"DEV-FE-2",Stories!G:G,"Sprint 1 — P1 Discover · Discovery M1 — employee records &amp; org st")</f>
        <v>0</v>
      </c>
      <c r="D6" s="13" t="n">
        <f aca="false">SUMIFS(Stories!J:J,Stories!E:E,"DEV-FE-2",Stories!G:G,"Sprint 2 — P1 Discover · Discovery M1 — positions &amp; contracts + M")</f>
        <v>0</v>
      </c>
      <c r="E6" s="13" t="n">
        <f aca="false">SUMIFS(Stories!J:J,Stories!E:E,"DEV-FE-2",Stories!G:G,"Sprint 3 — P1→P2 Design · Design system complete + all M1 wirefram")</f>
        <v>5</v>
      </c>
      <c r="F6" s="13" t="n">
        <f aca="false">SUMIFS(Stories!J:J,Stories!E:E,"DEV-FE-2",Stories!G:G,"Sprint 4 — P2 Foundations · Tenancy model + SSO + RBAC scaffold")</f>
        <v>3</v>
      </c>
      <c r="G6" s="13" t="n">
        <f aca="false">SUMIFS(Stories!J:J,Stories!E:E,"DEV-FE-2",Stories!G:G,"Sprint 5 — P2 Foundations · Audit log + platform shell + nav")</f>
        <v>11</v>
      </c>
      <c r="H6" s="13" t="n">
        <f aca="false">SUMIFS(Stories!J:J,Stories!E:E,"DEV-FE-2",Stories!G:G,"Sprint 6 — P3 Core Build · Employee records CRUD + search + data mo")</f>
        <v>16</v>
      </c>
      <c r="I6" s="13" t="n">
        <f aca="false">SUMIFS(Stories!J:J,Stories!E:E,"DEV-FE-2",Stories!G:G,"Sprint 7 — P3 Core Build · Org structure + positions + assignment")</f>
        <v>15</v>
      </c>
      <c r="J6" s="13" t="n">
        <f aca="false">SUMIFS(Stories!J:J,Stories!E:E,"DEV-FE-2",Stories!G:G,"Sprint 8 — P3 Core Build · Contracts + documents vault + signed URL")</f>
        <v>15</v>
      </c>
      <c r="K6" s="13" t="n">
        <f aca="false">SUMIFS(Stories!J:J,Stories!E:E,"DEV-FE-2",Stories!G:G,"Sprint 9 — P3 Core Build · Lifecycle events + approvals engine + no")</f>
        <v>13</v>
      </c>
      <c r="L6" s="13" t="n">
        <f aca="false">SUMIFS(Stories!J:J,Stories!E:E,"DEV-FE-2",Stories!G:G,"Sprint 10 — P3→P4 · M1 polish + bulk import/export + M10 sca")</f>
        <v>13</v>
      </c>
      <c r="M6" s="13" t="n">
        <f aca="false">SUMIFS(Stories!J:J,Stories!E:E,"DEV-FE-2",Stories!G:G,"Sprint 11 — P4 Adjacent · M10 users, roles, permissions admin")</f>
        <v>5</v>
      </c>
      <c r="N6" s="13" t="n">
        <f aca="false">SUMIFS(Stories!J:J,Stories!E:E,"DEV-FE-2",Stories!G:G,"Sprint 12 — P4 Adjacent · M10 tenant config + org chart admin + ho")</f>
        <v>13</v>
      </c>
      <c r="O6" s="13" t="n">
        <f aca="false">SUMIFS(Stories!J:J,Stories!E:E,"DEV-FE-2",Stories!G:G,"Sprint 13 — P4 Adjacent · M10 audit dashboard + integrations + web")</f>
        <v>8</v>
      </c>
      <c r="P6" s="13" t="n">
        <f aca="false">SUMIFS(Stories!J:J,Stories!E:E,"DEV-FE-2",Stories!G:G,"Sprint 14 — P4→P5 · Feature-freeze — a11y + bundle + perf op")</f>
        <v>10</v>
      </c>
      <c r="Q6" s="13" t="n">
        <f aca="false">SUMIFS(Stories!J:J,Stories!E:E,"DEV-FE-2",Stories!G:G,"Sprint 15 — P5 Harden · Load test + security scan fixes + DR dri")</f>
        <v>3</v>
      </c>
      <c r="R6" s="13" t="n">
        <f aca="false">SUMIFS(Stories!J:J,Stories!E:E,"DEV-FE-2",Stories!G:G,"Sprint 16 — P5 Harden · Pen-test fixes + data migration dry-runs")</f>
        <v>0</v>
      </c>
      <c r="S6" s="13" t="n">
        <f aca="false">SUMIFS(Stories!J:J,Stories!E:E,"DEV-FE-2",Stories!G:G,"Sprint 17 — P5→P6 · Holiday-reduced · UAT prep — scenarios, ")</f>
        <v>0</v>
      </c>
      <c r="T6" s="13" t="n">
        <f aca="false">SUMIFS(Stories!J:J,Stories!E:E,"DEV-FE-2",Stories!G:G,"Sprint 18 — P6 UAT · UAT round 1 + defect burndown")</f>
        <v>0</v>
      </c>
      <c r="U6" s="13" t="n">
        <f aca="false">SUMIFS(Stories!J:J,Stories!E:E,"DEV-FE-2",Stories!G:G,"Sprint 19 — P6 UAT · UAT round 2 + training content")</f>
        <v>5</v>
      </c>
      <c r="V6" s="13" t="n">
        <f aca="false">SUMIFS(Stories!J:J,Stories!E:E,"DEV-FE-2",Stories!G:G,"Sprint 20 — P6 UAT · UAT round 3 + cutover rehearsal")</f>
        <v>0</v>
      </c>
      <c r="W6" s="13" t="n">
        <f aca="false">SUMIFS(Stories!J:J,Stories!E:E,"DEV-FE-2",Stories!G:G,"Sprint 21 — P7 Cutover · Final fixes + go-live prep + rollback re")</f>
        <v>0</v>
      </c>
      <c r="X6" s="13" t="n">
        <f aca="false">SUMIFS(Stories!J:J,Stories!E:E,"DEV-FE-2",Stories!G:G,"Sprint 22 — P7 Go-Live · GO-LIVE 14-Mar-2027 + Day-1 hypercare")</f>
        <v>0</v>
      </c>
      <c r="Y6" s="14" t="n">
        <f aca="false">SUM(B6:X6)</f>
        <v>138</v>
      </c>
    </row>
    <row r="7" customFormat="false" ht="15" hidden="false" customHeight="false" outlineLevel="0" collapsed="false">
      <c r="A7" s="12" t="s">
        <v>246</v>
      </c>
      <c r="B7" s="13" t="n">
        <f aca="false">SUMIFS(Stories!J:J,Stories!E:E,"DEV-BE-1",Stories!G:G,"Sprint 0 — P0 close / Kick-off · Team onboarded, environments ready, CI/C")</f>
        <v>7</v>
      </c>
      <c r="C7" s="13" t="n">
        <f aca="false">SUMIFS(Stories!J:J,Stories!E:E,"DEV-BE-1",Stories!G:G,"Sprint 1 — P1 Discover · Discovery M1 — employee records &amp; org st")</f>
        <v>5</v>
      </c>
      <c r="D7" s="13" t="n">
        <f aca="false">SUMIFS(Stories!J:J,Stories!E:E,"DEV-BE-1",Stories!G:G,"Sprint 2 — P1 Discover · Discovery M1 — positions &amp; contracts + M")</f>
        <v>3</v>
      </c>
      <c r="E7" s="13" t="n">
        <f aca="false">SUMIFS(Stories!J:J,Stories!E:E,"DEV-BE-1",Stories!G:G,"Sprint 3 — P1→P2 Design · Design system complete + all M1 wirefram")</f>
        <v>3</v>
      </c>
      <c r="F7" s="13" t="n">
        <f aca="false">SUMIFS(Stories!J:J,Stories!E:E,"DEV-BE-1",Stories!G:G,"Sprint 4 — P2 Foundations · Tenancy model + SSO + RBAC scaffold")</f>
        <v>18</v>
      </c>
      <c r="G7" s="13" t="n">
        <f aca="false">SUMIFS(Stories!J:J,Stories!E:E,"DEV-BE-1",Stories!G:G,"Sprint 5 — P2 Foundations · Audit log + platform shell + nav")</f>
        <v>8</v>
      </c>
      <c r="H7" s="13" t="n">
        <f aca="false">SUMIFS(Stories!J:J,Stories!E:E,"DEV-BE-1",Stories!G:G,"Sprint 6 — P3 Core Build · Employee records CRUD + search + data mo")</f>
        <v>13</v>
      </c>
      <c r="I7" s="13" t="n">
        <f aca="false">SUMIFS(Stories!J:J,Stories!E:E,"DEV-BE-1",Stories!G:G,"Sprint 7 — P3 Core Build · Org structure + positions + assignment")</f>
        <v>15</v>
      </c>
      <c r="J7" s="13" t="n">
        <f aca="false">SUMIFS(Stories!J:J,Stories!E:E,"DEV-BE-1",Stories!G:G,"Sprint 8 — P3 Core Build · Contracts + documents vault + signed URL")</f>
        <v>15</v>
      </c>
      <c r="K7" s="13" t="n">
        <f aca="false">SUMIFS(Stories!J:J,Stories!E:E,"DEV-BE-1",Stories!G:G,"Sprint 9 — P3 Core Build · Lifecycle events + approvals engine + no")</f>
        <v>13</v>
      </c>
      <c r="L7" s="13" t="n">
        <f aca="false">SUMIFS(Stories!J:J,Stories!E:E,"DEV-BE-1",Stories!G:G,"Sprint 10 — P3→P4 · M1 polish + bulk import/export + M10 sca")</f>
        <v>8</v>
      </c>
      <c r="M7" s="13" t="n">
        <f aca="false">SUMIFS(Stories!J:J,Stories!E:E,"DEV-BE-1",Stories!G:G,"Sprint 11 — P4 Adjacent · M10 users, roles, permissions admin")</f>
        <v>15</v>
      </c>
      <c r="N7" s="13" t="n">
        <f aca="false">SUMIFS(Stories!J:J,Stories!E:E,"DEV-BE-1",Stories!G:G,"Sprint 12 — P4 Adjacent · M10 tenant config + org chart admin + ho")</f>
        <v>10</v>
      </c>
      <c r="O7" s="13" t="n">
        <f aca="false">SUMIFS(Stories!J:J,Stories!E:E,"DEV-BE-1",Stories!G:G,"Sprint 13 — P4 Adjacent · M10 audit dashboard + integrations + web")</f>
        <v>13</v>
      </c>
      <c r="P7" s="13" t="n">
        <f aca="false">SUMIFS(Stories!J:J,Stories!E:E,"DEV-BE-1",Stories!G:G,"Sprint 14 — P4→P5 · Feature-freeze — a11y + bundle + perf op")</f>
        <v>8</v>
      </c>
      <c r="Q7" s="13" t="n">
        <f aca="false">SUMIFS(Stories!J:J,Stories!E:E,"DEV-BE-1",Stories!G:G,"Sprint 15 — P5 Harden · Load test + security scan fixes + DR dri")</f>
        <v>18</v>
      </c>
      <c r="R7" s="13" t="n">
        <f aca="false">SUMIFS(Stories!J:J,Stories!E:E,"DEV-BE-1",Stories!G:G,"Sprint 16 — P5 Harden · Pen-test fixes + data migration dry-runs")</f>
        <v>19</v>
      </c>
      <c r="S7" s="13" t="n">
        <f aca="false">SUMIFS(Stories!J:J,Stories!E:E,"DEV-BE-1",Stories!G:G,"Sprint 17 — P5→P6 · Holiday-reduced · UAT prep — scenarios, ")</f>
        <v>5</v>
      </c>
      <c r="T7" s="13" t="n">
        <f aca="false">SUMIFS(Stories!J:J,Stories!E:E,"DEV-BE-1",Stories!G:G,"Sprint 18 — P6 UAT · UAT round 1 + defect burndown")</f>
        <v>8</v>
      </c>
      <c r="U7" s="13" t="n">
        <f aca="false">SUMIFS(Stories!J:J,Stories!E:E,"DEV-BE-1",Stories!G:G,"Sprint 19 — P6 UAT · UAT round 2 + training content")</f>
        <v>0</v>
      </c>
      <c r="V7" s="13" t="n">
        <f aca="false">SUMIFS(Stories!J:J,Stories!E:E,"DEV-BE-1",Stories!G:G,"Sprint 20 — P6 UAT · UAT round 3 + cutover rehearsal")</f>
        <v>5</v>
      </c>
      <c r="W7" s="13" t="n">
        <f aca="false">SUMIFS(Stories!J:J,Stories!E:E,"DEV-BE-1",Stories!G:G,"Sprint 21 — P7 Cutover · Final fixes + go-live prep + rollback re")</f>
        <v>5</v>
      </c>
      <c r="X7" s="13" t="n">
        <f aca="false">SUMIFS(Stories!J:J,Stories!E:E,"DEV-BE-1",Stories!G:G,"Sprint 22 — P7 Go-Live · GO-LIVE 14-Mar-2027 + Day-1 hypercare")</f>
        <v>8</v>
      </c>
      <c r="Y7" s="14" t="n">
        <f aca="false">SUM(B7:X7)</f>
        <v>222</v>
      </c>
    </row>
    <row r="8" customFormat="false" ht="15" hidden="false" customHeight="false" outlineLevel="0" collapsed="false">
      <c r="A8" s="12" t="s">
        <v>251</v>
      </c>
      <c r="B8" s="13" t="n">
        <f aca="false">SUMIFS(Stories!J:J,Stories!E:E,"DEV-BE-2",Stories!G:G,"Sprint 0 — P0 close / Kick-off · Team onboarded, environments ready, CI/C")</f>
        <v>5</v>
      </c>
      <c r="C8" s="13" t="n">
        <f aca="false">SUMIFS(Stories!J:J,Stories!E:E,"DEV-BE-2",Stories!G:G,"Sprint 1 — P1 Discover · Discovery M1 — employee records &amp; org st")</f>
        <v>5</v>
      </c>
      <c r="D8" s="13" t="n">
        <f aca="false">SUMIFS(Stories!J:J,Stories!E:E,"DEV-BE-2",Stories!G:G,"Sprint 2 — P1 Discover · Discovery M1 — positions &amp; contracts + M")</f>
        <v>3</v>
      </c>
      <c r="E8" s="13" t="n">
        <f aca="false">SUMIFS(Stories!J:J,Stories!E:E,"DEV-BE-2",Stories!G:G,"Sprint 3 — P1→P2 Design · Design system complete + all M1 wirefram")</f>
        <v>3</v>
      </c>
      <c r="F8" s="13" t="n">
        <f aca="false">SUMIFS(Stories!J:J,Stories!E:E,"DEV-BE-2",Stories!G:G,"Sprint 4 — P2 Foundations · Tenancy model + SSO + RBAC scaffold")</f>
        <v>18</v>
      </c>
      <c r="G8" s="13" t="n">
        <f aca="false">SUMIFS(Stories!J:J,Stories!E:E,"DEV-BE-2",Stories!G:G,"Sprint 5 — P2 Foundations · Audit log + platform shell + nav")</f>
        <v>6</v>
      </c>
      <c r="H8" s="13" t="n">
        <f aca="false">SUMIFS(Stories!J:J,Stories!E:E,"DEV-BE-2",Stories!G:G,"Sprint 6 — P3 Core Build · Employee records CRUD + search + data mo")</f>
        <v>16</v>
      </c>
      <c r="I8" s="13" t="n">
        <f aca="false">SUMIFS(Stories!J:J,Stories!E:E,"DEV-BE-2",Stories!G:G,"Sprint 7 — P3 Core Build · Org structure + positions + assignment")</f>
        <v>13</v>
      </c>
      <c r="J8" s="13" t="n">
        <f aca="false">SUMIFS(Stories!J:J,Stories!E:E,"DEV-BE-2",Stories!G:G,"Sprint 8 — P3 Core Build · Contracts + documents vault + signed URL")</f>
        <v>13</v>
      </c>
      <c r="K8" s="13" t="n">
        <f aca="false">SUMIFS(Stories!J:J,Stories!E:E,"DEV-BE-2",Stories!G:G,"Sprint 9 — P3 Core Build · Lifecycle events + approvals engine + no")</f>
        <v>13</v>
      </c>
      <c r="L8" s="13" t="n">
        <f aca="false">SUMIFS(Stories!J:J,Stories!E:E,"DEV-BE-2",Stories!G:G,"Sprint 10 — P3→P4 · M1 polish + bulk import/export + M10 sca")</f>
        <v>13</v>
      </c>
      <c r="M8" s="13" t="n">
        <f aca="false">SUMIFS(Stories!J:J,Stories!E:E,"DEV-BE-2",Stories!G:G,"Sprint 11 — P4 Adjacent · M10 users, roles, permissions admin")</f>
        <v>3</v>
      </c>
      <c r="N8" s="13" t="n">
        <f aca="false">SUMIFS(Stories!J:J,Stories!E:E,"DEV-BE-2",Stories!G:G,"Sprint 12 — P4 Adjacent · M10 tenant config + org chart admin + ho")</f>
        <v>6</v>
      </c>
      <c r="O8" s="13" t="n">
        <f aca="false">SUMIFS(Stories!J:J,Stories!E:E,"DEV-BE-2",Stories!G:G,"Sprint 13 — P4 Adjacent · M10 audit dashboard + integrations + web")</f>
        <v>8</v>
      </c>
      <c r="P8" s="13" t="n">
        <f aca="false">SUMIFS(Stories!J:J,Stories!E:E,"DEV-BE-2",Stories!G:G,"Sprint 14 — P4→P5 · Feature-freeze — a11y + bundle + perf op")</f>
        <v>11</v>
      </c>
      <c r="Q8" s="13" t="n">
        <f aca="false">SUMIFS(Stories!J:J,Stories!E:E,"DEV-BE-2",Stories!G:G,"Sprint 15 — P5 Harden · Load test + security scan fixes + DR dri")</f>
        <v>15</v>
      </c>
      <c r="R8" s="13" t="n">
        <f aca="false">SUMIFS(Stories!J:J,Stories!E:E,"DEV-BE-2",Stories!G:G,"Sprint 16 — P5 Harden · Pen-test fixes + data migration dry-runs")</f>
        <v>18</v>
      </c>
      <c r="S8" s="13" t="n">
        <f aca="false">SUMIFS(Stories!J:J,Stories!E:E,"DEV-BE-2",Stories!G:G,"Sprint 17 — P5→P6 · Holiday-reduced · UAT prep — scenarios, ")</f>
        <v>3</v>
      </c>
      <c r="T8" s="13" t="n">
        <f aca="false">SUMIFS(Stories!J:J,Stories!E:E,"DEV-BE-2",Stories!G:G,"Sprint 18 — P6 UAT · UAT round 1 + defect burndown")</f>
        <v>0</v>
      </c>
      <c r="U8" s="13" t="n">
        <f aca="false">SUMIFS(Stories!J:J,Stories!E:E,"DEV-BE-2",Stories!G:G,"Sprint 19 — P6 UAT · UAT round 2 + training content")</f>
        <v>5</v>
      </c>
      <c r="V8" s="13" t="n">
        <f aca="false">SUMIFS(Stories!J:J,Stories!E:E,"DEV-BE-2",Stories!G:G,"Sprint 20 — P6 UAT · UAT round 3 + cutover rehearsal")</f>
        <v>10</v>
      </c>
      <c r="W8" s="13" t="n">
        <f aca="false">SUMIFS(Stories!J:J,Stories!E:E,"DEV-BE-2",Stories!G:G,"Sprint 21 — P7 Cutover · Final fixes + go-live prep + rollback re")</f>
        <v>8</v>
      </c>
      <c r="X8" s="13" t="n">
        <f aca="false">SUMIFS(Stories!J:J,Stories!E:E,"DEV-BE-2",Stories!G:G,"Sprint 22 — P7 Go-Live · GO-LIVE 14-Mar-2027 + Day-1 hypercare")</f>
        <v>8</v>
      </c>
      <c r="Y8" s="14" t="n">
        <f aca="false">SUM(B8:X8)</f>
        <v>203</v>
      </c>
    </row>
    <row r="9" customFormat="false" ht="15" hidden="false" customHeight="false" outlineLevel="0" collapsed="false">
      <c r="A9" s="12" t="s">
        <v>231</v>
      </c>
      <c r="B9" s="13" t="n">
        <f aca="false">SUMIFS(Stories!J:J,Stories!E:E,"QA-1",Stories!G:G,"Sprint 0 — P0 close / Kick-off · Team onboarded, environments ready, CI/C")</f>
        <v>2</v>
      </c>
      <c r="C9" s="13" t="n">
        <f aca="false">SUMIFS(Stories!J:J,Stories!E:E,"QA-1",Stories!G:G,"Sprint 1 — P1 Discover · Discovery M1 — employee records &amp; org st")</f>
        <v>3</v>
      </c>
      <c r="D9" s="13" t="n">
        <f aca="false">SUMIFS(Stories!J:J,Stories!E:E,"QA-1",Stories!G:G,"Sprint 2 — P1 Discover · Discovery M1 — positions &amp; contracts + M")</f>
        <v>0</v>
      </c>
      <c r="E9" s="13" t="n">
        <f aca="false">SUMIFS(Stories!J:J,Stories!E:E,"QA-1",Stories!G:G,"Sprint 3 — P1→P2 Design · Design system complete + all M1 wirefram")</f>
        <v>8</v>
      </c>
      <c r="F9" s="13" t="n">
        <f aca="false">SUMIFS(Stories!J:J,Stories!E:E,"QA-1",Stories!G:G,"Sprint 4 — P2 Foundations · Tenancy model + SSO + RBAC scaffold")</f>
        <v>5</v>
      </c>
      <c r="G9" s="13" t="n">
        <f aca="false">SUMIFS(Stories!J:J,Stories!E:E,"QA-1",Stories!G:G,"Sprint 5 — P2 Foundations · Audit log + platform shell + nav")</f>
        <v>5</v>
      </c>
      <c r="H9" s="13" t="n">
        <f aca="false">SUMIFS(Stories!J:J,Stories!E:E,"QA-1",Stories!G:G,"Sprint 6 — P3 Core Build · Employee records CRUD + search + data mo")</f>
        <v>8</v>
      </c>
      <c r="I9" s="13" t="n">
        <f aca="false">SUMIFS(Stories!J:J,Stories!E:E,"QA-1",Stories!G:G,"Sprint 7 — P3 Core Build · Org structure + positions + assignment")</f>
        <v>5</v>
      </c>
      <c r="J9" s="13" t="n">
        <f aca="false">SUMIFS(Stories!J:J,Stories!E:E,"QA-1",Stories!G:G,"Sprint 8 — P3 Core Build · Contracts + documents vault + signed URL")</f>
        <v>5</v>
      </c>
      <c r="K9" s="13" t="n">
        <f aca="false">SUMIFS(Stories!J:J,Stories!E:E,"QA-1",Stories!G:G,"Sprint 9 — P3 Core Build · Lifecycle events + approvals engine + no")</f>
        <v>9</v>
      </c>
      <c r="L9" s="13" t="n">
        <f aca="false">SUMIFS(Stories!J:J,Stories!E:E,"QA-1",Stories!G:G,"Sprint 10 — P3→P4 · M1 polish + bulk import/export + M10 sca")</f>
        <v>13</v>
      </c>
      <c r="M9" s="13" t="n">
        <f aca="false">SUMIFS(Stories!J:J,Stories!E:E,"QA-1",Stories!G:G,"Sprint 11 — P4 Adjacent · M10 users, roles, permissions admin")</f>
        <v>9</v>
      </c>
      <c r="N9" s="13" t="n">
        <f aca="false">SUMIFS(Stories!J:J,Stories!E:E,"QA-1",Stories!G:G,"Sprint 12 — P4 Adjacent · M10 tenant config + org chart admin + ho")</f>
        <v>3</v>
      </c>
      <c r="O9" s="13" t="n">
        <f aca="false">SUMIFS(Stories!J:J,Stories!E:E,"QA-1",Stories!G:G,"Sprint 13 — P4 Adjacent · M10 audit dashboard + integrations + web")</f>
        <v>3</v>
      </c>
      <c r="P9" s="13" t="n">
        <f aca="false">SUMIFS(Stories!J:J,Stories!E:E,"QA-1",Stories!G:G,"Sprint 14 — P4→P5 · Feature-freeze — a11y + bundle + perf op")</f>
        <v>8</v>
      </c>
      <c r="Q9" s="13" t="n">
        <f aca="false">SUMIFS(Stories!J:J,Stories!E:E,"QA-1",Stories!G:G,"Sprint 15 — P5 Harden · Load test + security scan fixes + DR dri")</f>
        <v>3</v>
      </c>
      <c r="R9" s="13" t="n">
        <f aca="false">SUMIFS(Stories!J:J,Stories!E:E,"QA-1",Stories!G:G,"Sprint 16 — P5 Harden · Pen-test fixes + data migration dry-runs")</f>
        <v>8</v>
      </c>
      <c r="S9" s="13" t="n">
        <f aca="false">SUMIFS(Stories!J:J,Stories!E:E,"QA-1",Stories!G:G,"Sprint 17 — P5→P6 · Holiday-reduced · UAT prep — scenarios, ")</f>
        <v>8</v>
      </c>
      <c r="T9" s="13" t="n">
        <f aca="false">SUMIFS(Stories!J:J,Stories!E:E,"QA-1",Stories!G:G,"Sprint 18 — P6 UAT · UAT round 1 + defect burndown")</f>
        <v>10</v>
      </c>
      <c r="U9" s="13" t="n">
        <f aca="false">SUMIFS(Stories!J:J,Stories!E:E,"QA-1",Stories!G:G,"Sprint 19 — P6 UAT · UAT round 2 + training content")</f>
        <v>5</v>
      </c>
      <c r="V9" s="13" t="n">
        <f aca="false">SUMIFS(Stories!J:J,Stories!E:E,"QA-1",Stories!G:G,"Sprint 20 — P6 UAT · UAT round 3 + cutover rehearsal")</f>
        <v>8</v>
      </c>
      <c r="W9" s="13" t="n">
        <f aca="false">SUMIFS(Stories!J:J,Stories!E:E,"QA-1",Stories!G:G,"Sprint 21 — P7 Cutover · Final fixes + go-live prep + rollback re")</f>
        <v>2</v>
      </c>
      <c r="X9" s="13" t="n">
        <f aca="false">SUMIFS(Stories!J:J,Stories!E:E,"QA-1",Stories!G:G,"Sprint 22 — P7 Go-Live · GO-LIVE 14-Mar-2027 + Day-1 hypercare")</f>
        <v>3</v>
      </c>
      <c r="Y9" s="14" t="n">
        <f aca="false">SUM(B9:X9)</f>
        <v>133</v>
      </c>
    </row>
    <row r="10" customFormat="false" ht="15" hidden="false" customHeight="false" outlineLevel="0" collapsed="false">
      <c r="A10" s="12" t="s">
        <v>210</v>
      </c>
      <c r="B10" s="13" t="n">
        <f aca="false">SUMIFS(Stories!J:J,Stories!E:E,"TL",Stories!G:G,"Sprint 0 — P0 close / Kick-off · Team onboarded, environments ready, CI/C")</f>
        <v>0</v>
      </c>
      <c r="C10" s="13" t="n">
        <f aca="false">SUMIFS(Stories!J:J,Stories!E:E,"TL",Stories!G:G,"Sprint 1 — P1 Discover · Discovery M1 — employee records &amp; org st")</f>
        <v>6</v>
      </c>
      <c r="D10" s="13" t="n">
        <f aca="false">SUMIFS(Stories!J:J,Stories!E:E,"TL",Stories!G:G,"Sprint 2 — P1 Discover · Discovery M1 — positions &amp; contracts + M")</f>
        <v>8</v>
      </c>
      <c r="E10" s="13" t="n">
        <f aca="false">SUMIFS(Stories!J:J,Stories!E:E,"TL",Stories!G:G,"Sprint 3 — P1→P2 Design · Design system complete + all M1 wirefram")</f>
        <v>0</v>
      </c>
      <c r="F10" s="13" t="n">
        <f aca="false">SUMIFS(Stories!J:J,Stories!E:E,"TL",Stories!G:G,"Sprint 4 — P2 Foundations · Tenancy model + SSO + RBAC scaffold")</f>
        <v>0</v>
      </c>
      <c r="G10" s="13" t="n">
        <f aca="false">SUMIFS(Stories!J:J,Stories!E:E,"TL",Stories!G:G,"Sprint 5 — P2 Foundations · Audit log + platform shell + nav")</f>
        <v>0</v>
      </c>
      <c r="H10" s="13" t="n">
        <f aca="false">SUMIFS(Stories!J:J,Stories!E:E,"TL",Stories!G:G,"Sprint 6 — P3 Core Build · Employee records CRUD + search + data mo")</f>
        <v>0</v>
      </c>
      <c r="I10" s="13" t="n">
        <f aca="false">SUMIFS(Stories!J:J,Stories!E:E,"TL",Stories!G:G,"Sprint 7 — P3 Core Build · Org structure + positions + assignment")</f>
        <v>0</v>
      </c>
      <c r="J10" s="13" t="n">
        <f aca="false">SUMIFS(Stories!J:J,Stories!E:E,"TL",Stories!G:G,"Sprint 8 — P3 Core Build · Contracts + documents vault + signed URL")</f>
        <v>0</v>
      </c>
      <c r="K10" s="13" t="n">
        <f aca="false">SUMIFS(Stories!J:J,Stories!E:E,"TL",Stories!G:G,"Sprint 9 — P3 Core Build · Lifecycle events + approvals engine + no")</f>
        <v>0</v>
      </c>
      <c r="L10" s="13" t="n">
        <f aca="false">SUMIFS(Stories!J:J,Stories!E:E,"TL",Stories!G:G,"Sprint 10 — P3→P4 · M1 polish + bulk import/export + M10 sca")</f>
        <v>0</v>
      </c>
      <c r="M10" s="13" t="n">
        <f aca="false">SUMIFS(Stories!J:J,Stories!E:E,"TL",Stories!G:G,"Sprint 11 — P4 Adjacent · M10 users, roles, permissions admin")</f>
        <v>0</v>
      </c>
      <c r="N10" s="13" t="n">
        <f aca="false">SUMIFS(Stories!J:J,Stories!E:E,"TL",Stories!G:G,"Sprint 12 — P4 Adjacent · M10 tenant config + org chart admin + ho")</f>
        <v>0</v>
      </c>
      <c r="O10" s="13" t="n">
        <f aca="false">SUMIFS(Stories!J:J,Stories!E:E,"TL",Stories!G:G,"Sprint 13 — P4 Adjacent · M10 audit dashboard + integrations + web")</f>
        <v>0</v>
      </c>
      <c r="P10" s="13" t="n">
        <f aca="false">SUMIFS(Stories!J:J,Stories!E:E,"TL",Stories!G:G,"Sprint 14 — P4→P5 · Feature-freeze — a11y + bundle + perf op")</f>
        <v>0</v>
      </c>
      <c r="Q10" s="13" t="n">
        <f aca="false">SUMIFS(Stories!J:J,Stories!E:E,"TL",Stories!G:G,"Sprint 15 — P5 Harden · Load test + security scan fixes + DR dri")</f>
        <v>0</v>
      </c>
      <c r="R10" s="13" t="n">
        <f aca="false">SUMIFS(Stories!J:J,Stories!E:E,"TL",Stories!G:G,"Sprint 16 — P5 Harden · Pen-test fixes + data migration dry-runs")</f>
        <v>0</v>
      </c>
      <c r="S10" s="13" t="n">
        <f aca="false">SUMIFS(Stories!J:J,Stories!E:E,"TL",Stories!G:G,"Sprint 17 — P5→P6 · Holiday-reduced · UAT prep — scenarios, ")</f>
        <v>0</v>
      </c>
      <c r="T10" s="13" t="n">
        <f aca="false">SUMIFS(Stories!J:J,Stories!E:E,"TL",Stories!G:G,"Sprint 18 — P6 UAT · UAT round 1 + defect burndown")</f>
        <v>0</v>
      </c>
      <c r="U10" s="13" t="n">
        <f aca="false">SUMIFS(Stories!J:J,Stories!E:E,"TL",Stories!G:G,"Sprint 19 — P6 UAT · UAT round 2 + training content")</f>
        <v>0</v>
      </c>
      <c r="V10" s="13" t="n">
        <f aca="false">SUMIFS(Stories!J:J,Stories!E:E,"TL",Stories!G:G,"Sprint 20 — P6 UAT · UAT round 3 + cutover rehearsal")</f>
        <v>0</v>
      </c>
      <c r="W10" s="13" t="n">
        <f aca="false">SUMIFS(Stories!J:J,Stories!E:E,"TL",Stories!G:G,"Sprint 21 — P7 Cutover · Final fixes + go-live prep + rollback re")</f>
        <v>0</v>
      </c>
      <c r="X10" s="13" t="n">
        <f aca="false">SUMIFS(Stories!J:J,Stories!E:E,"TL",Stories!G:G,"Sprint 22 — P7 Go-Live · GO-LIVE 14-Mar-2027 + Day-1 hypercare")</f>
        <v>0</v>
      </c>
      <c r="Y10" s="14" t="n">
        <f aca="false">SUM(B10:X10)</f>
        <v>14</v>
      </c>
    </row>
    <row r="11" customFormat="false" ht="15" hidden="false" customHeight="false" outlineLevel="0" collapsed="false">
      <c r="A11" s="12" t="s">
        <v>278</v>
      </c>
      <c r="B11" s="13" t="n">
        <f aca="false">SUMIFS(Stories!J:J,Stories!E:E,"DES-1",Stories!G:G,"Sprint 0 — P0 close / Kick-off · Team onboarded, environments ready, CI/C")</f>
        <v>0</v>
      </c>
      <c r="C11" s="13" t="n">
        <f aca="false">SUMIFS(Stories!J:J,Stories!E:E,"DES-1",Stories!G:G,"Sprint 1 — P1 Discover · Discovery M1 — employee records &amp; org st")</f>
        <v>10</v>
      </c>
      <c r="D11" s="13" t="n">
        <f aca="false">SUMIFS(Stories!J:J,Stories!E:E,"DES-1",Stories!G:G,"Sprint 2 — P1 Discover · Discovery M1 — positions &amp; contracts + M")</f>
        <v>20</v>
      </c>
      <c r="E11" s="13" t="n">
        <f aca="false">SUMIFS(Stories!J:J,Stories!E:E,"DES-1",Stories!G:G,"Sprint 3 — P1→P2 Design · Design system complete + all M1 wirefram")</f>
        <v>15</v>
      </c>
      <c r="F11" s="13" t="n">
        <f aca="false">SUMIFS(Stories!J:J,Stories!E:E,"DES-1",Stories!G:G,"Sprint 4 — P2 Foundations · Tenancy model + SSO + RBAC scaffold")</f>
        <v>5</v>
      </c>
      <c r="G11" s="13" t="n">
        <f aca="false">SUMIFS(Stories!J:J,Stories!E:E,"DES-1",Stories!G:G,"Sprint 5 — P2 Foundations · Audit log + platform shell + nav")</f>
        <v>0</v>
      </c>
      <c r="H11" s="13" t="n">
        <f aca="false">SUMIFS(Stories!J:J,Stories!E:E,"DES-1",Stories!G:G,"Sprint 6 — P3 Core Build · Employee records CRUD + search + data mo")</f>
        <v>0</v>
      </c>
      <c r="I11" s="13" t="n">
        <f aca="false">SUMIFS(Stories!J:J,Stories!E:E,"DES-1",Stories!G:G,"Sprint 7 — P3 Core Build · Org structure + positions + assignment")</f>
        <v>0</v>
      </c>
      <c r="J11" s="13" t="n">
        <f aca="false">SUMIFS(Stories!J:J,Stories!E:E,"DES-1",Stories!G:G,"Sprint 8 — P3 Core Build · Contracts + documents vault + signed URL")</f>
        <v>0</v>
      </c>
      <c r="K11" s="13" t="n">
        <f aca="false">SUMIFS(Stories!J:J,Stories!E:E,"DES-1",Stories!G:G,"Sprint 9 — P3 Core Build · Lifecycle events + approvals engine + no")</f>
        <v>0</v>
      </c>
      <c r="L11" s="13" t="n">
        <f aca="false">SUMIFS(Stories!J:J,Stories!E:E,"DES-1",Stories!G:G,"Sprint 10 — P3→P4 · M1 polish + bulk import/export + M10 sca")</f>
        <v>3</v>
      </c>
      <c r="M11" s="13" t="n">
        <f aca="false">SUMIFS(Stories!J:J,Stories!E:E,"DES-1",Stories!G:G,"Sprint 11 — P4 Adjacent · M10 users, roles, permissions admin")</f>
        <v>0</v>
      </c>
      <c r="N11" s="13" t="n">
        <f aca="false">SUMIFS(Stories!J:J,Stories!E:E,"DES-1",Stories!G:G,"Sprint 12 — P4 Adjacent · M10 tenant config + org chart admin + ho")</f>
        <v>0</v>
      </c>
      <c r="O11" s="13" t="n">
        <f aca="false">SUMIFS(Stories!J:J,Stories!E:E,"DES-1",Stories!G:G,"Sprint 13 — P4 Adjacent · M10 audit dashboard + integrations + web")</f>
        <v>0</v>
      </c>
      <c r="P11" s="13" t="n">
        <f aca="false">SUMIFS(Stories!J:J,Stories!E:E,"DES-1",Stories!G:G,"Sprint 14 — P4→P5 · Feature-freeze — a11y + bundle + perf op")</f>
        <v>0</v>
      </c>
      <c r="Q11" s="13" t="n">
        <f aca="false">SUMIFS(Stories!J:J,Stories!E:E,"DES-1",Stories!G:G,"Sprint 15 — P5 Harden · Load test + security scan fixes + DR dri")</f>
        <v>0</v>
      </c>
      <c r="R11" s="13" t="n">
        <f aca="false">SUMIFS(Stories!J:J,Stories!E:E,"DES-1",Stories!G:G,"Sprint 16 — P5 Harden · Pen-test fixes + data migration dry-runs")</f>
        <v>0</v>
      </c>
      <c r="S11" s="13" t="n">
        <f aca="false">SUMIFS(Stories!J:J,Stories!E:E,"DES-1",Stories!G:G,"Sprint 17 — P5→P6 · Holiday-reduced · UAT prep — scenarios, ")</f>
        <v>0</v>
      </c>
      <c r="T11" s="13" t="n">
        <f aca="false">SUMIFS(Stories!J:J,Stories!E:E,"DES-1",Stories!G:G,"Sprint 18 — P6 UAT · UAT round 1 + defect burndown")</f>
        <v>1</v>
      </c>
      <c r="U11" s="13" t="n">
        <f aca="false">SUMIFS(Stories!J:J,Stories!E:E,"DES-1",Stories!G:G,"Sprint 19 — P6 UAT · UAT round 2 + training content")</f>
        <v>3</v>
      </c>
      <c r="V11" s="13" t="n">
        <f aca="false">SUMIFS(Stories!J:J,Stories!E:E,"DES-1",Stories!G:G,"Sprint 20 — P6 UAT · UAT round 3 + cutover rehearsal")</f>
        <v>0</v>
      </c>
      <c r="W11" s="13" t="n">
        <f aca="false">SUMIFS(Stories!J:J,Stories!E:E,"DES-1",Stories!G:G,"Sprint 21 — P7 Cutover · Final fixes + go-live prep + rollback re")</f>
        <v>0</v>
      </c>
      <c r="X11" s="13" t="n">
        <f aca="false">SUMIFS(Stories!J:J,Stories!E:E,"DES-1",Stories!G:G,"Sprint 22 — P7 Go-Live · GO-LIVE 14-Mar-2027 + Day-1 hypercare")</f>
        <v>0</v>
      </c>
      <c r="Y11" s="14" t="n">
        <f aca="false">SUM(B11:X11)</f>
        <v>57</v>
      </c>
    </row>
    <row r="12" customFormat="false" ht="15" hidden="false" customHeight="false" outlineLevel="0" collapsed="false">
      <c r="A12" s="12" t="s">
        <v>204</v>
      </c>
      <c r="B12" s="13" t="n">
        <f aca="false">SUMIFS(Stories!J:J,Stories!E:E,"PO",Stories!G:G,"Sprint 0 — P0 close / Kick-off · Team onboarded, environments ready, CI/C")</f>
        <v>0</v>
      </c>
      <c r="C12" s="13" t="n">
        <f aca="false">SUMIFS(Stories!J:J,Stories!E:E,"PO",Stories!G:G,"Sprint 1 — P1 Discover · Discovery M1 — employee records &amp; org st")</f>
        <v>6</v>
      </c>
      <c r="D12" s="13" t="n">
        <f aca="false">SUMIFS(Stories!J:J,Stories!E:E,"PO",Stories!G:G,"Sprint 2 — P1 Discover · Discovery M1 — positions &amp; contracts + M")</f>
        <v>9</v>
      </c>
      <c r="E12" s="13" t="n">
        <f aca="false">SUMIFS(Stories!J:J,Stories!E:E,"PO",Stories!G:G,"Sprint 3 — P1→P2 Design · Design system complete + all M1 wirefram")</f>
        <v>2</v>
      </c>
      <c r="F12" s="13" t="n">
        <f aca="false">SUMIFS(Stories!J:J,Stories!E:E,"PO",Stories!G:G,"Sprint 4 — P2 Foundations · Tenancy model + SSO + RBAC scaffold")</f>
        <v>0</v>
      </c>
      <c r="G12" s="13" t="n">
        <f aca="false">SUMIFS(Stories!J:J,Stories!E:E,"PO",Stories!G:G,"Sprint 5 — P2 Foundations · Audit log + platform shell + nav")</f>
        <v>0</v>
      </c>
      <c r="H12" s="13" t="n">
        <f aca="false">SUMIFS(Stories!J:J,Stories!E:E,"PO",Stories!G:G,"Sprint 6 — P3 Core Build · Employee records CRUD + search + data mo")</f>
        <v>0</v>
      </c>
      <c r="I12" s="13" t="n">
        <f aca="false">SUMIFS(Stories!J:J,Stories!E:E,"PO",Stories!G:G,"Sprint 7 — P3 Core Build · Org structure + positions + assignment")</f>
        <v>0</v>
      </c>
      <c r="J12" s="13" t="n">
        <f aca="false">SUMIFS(Stories!J:J,Stories!E:E,"PO",Stories!G:G,"Sprint 8 — P3 Core Build · Contracts + documents vault + signed URL")</f>
        <v>0</v>
      </c>
      <c r="K12" s="13" t="n">
        <f aca="false">SUMIFS(Stories!J:J,Stories!E:E,"PO",Stories!G:G,"Sprint 9 — P3 Core Build · Lifecycle events + approvals engine + no")</f>
        <v>0</v>
      </c>
      <c r="L12" s="13" t="n">
        <f aca="false">SUMIFS(Stories!J:J,Stories!E:E,"PO",Stories!G:G,"Sprint 10 — P3→P4 · M1 polish + bulk import/export + M10 sca")</f>
        <v>0</v>
      </c>
      <c r="M12" s="13" t="n">
        <f aca="false">SUMIFS(Stories!J:J,Stories!E:E,"PO",Stories!G:G,"Sprint 11 — P4 Adjacent · M10 users, roles, permissions admin")</f>
        <v>0</v>
      </c>
      <c r="N12" s="13" t="n">
        <f aca="false">SUMIFS(Stories!J:J,Stories!E:E,"PO",Stories!G:G,"Sprint 12 — P4 Adjacent · M10 tenant config + org chart admin + ho")</f>
        <v>0</v>
      </c>
      <c r="O12" s="13" t="n">
        <f aca="false">SUMIFS(Stories!J:J,Stories!E:E,"PO",Stories!G:G,"Sprint 13 — P4 Adjacent · M10 audit dashboard + integrations + web")</f>
        <v>0</v>
      </c>
      <c r="P12" s="13" t="n">
        <f aca="false">SUMIFS(Stories!J:J,Stories!E:E,"PO",Stories!G:G,"Sprint 14 — P4→P5 · Feature-freeze — a11y + bundle + perf op")</f>
        <v>0</v>
      </c>
      <c r="Q12" s="13" t="n">
        <f aca="false">SUMIFS(Stories!J:J,Stories!E:E,"PO",Stories!G:G,"Sprint 15 — P5 Harden · Load test + security scan fixes + DR dri")</f>
        <v>0</v>
      </c>
      <c r="R12" s="13" t="n">
        <f aca="false">SUMIFS(Stories!J:J,Stories!E:E,"PO",Stories!G:G,"Sprint 16 — P5 Harden · Pen-test fixes + data migration dry-runs")</f>
        <v>0</v>
      </c>
      <c r="S12" s="13" t="n">
        <f aca="false">SUMIFS(Stories!J:J,Stories!E:E,"PO",Stories!G:G,"Sprint 17 — P5→P6 · Holiday-reduced · UAT prep — scenarios, ")</f>
        <v>11</v>
      </c>
      <c r="T12" s="13" t="n">
        <f aca="false">SUMIFS(Stories!J:J,Stories!E:E,"PO",Stories!G:G,"Sprint 18 — P6 UAT · UAT round 1 + defect burndown")</f>
        <v>3</v>
      </c>
      <c r="U12" s="13" t="n">
        <f aca="false">SUMIFS(Stories!J:J,Stories!E:E,"PO",Stories!G:G,"Sprint 19 — P6 UAT · UAT round 2 + training content")</f>
        <v>12</v>
      </c>
      <c r="V12" s="13" t="n">
        <f aca="false">SUMIFS(Stories!J:J,Stories!E:E,"PO",Stories!G:G,"Sprint 20 — P6 UAT · UAT round 3 + cutover rehearsal")</f>
        <v>2</v>
      </c>
      <c r="W12" s="13" t="n">
        <f aca="false">SUMIFS(Stories!J:J,Stories!E:E,"PO",Stories!G:G,"Sprint 21 — P7 Cutover · Final fixes + go-live prep + rollback re")</f>
        <v>5</v>
      </c>
      <c r="X12" s="13" t="n">
        <f aca="false">SUMIFS(Stories!J:J,Stories!E:E,"PO",Stories!G:G,"Sprint 22 — P7 Go-Live · GO-LIVE 14-Mar-2027 + Day-1 hypercare")</f>
        <v>3</v>
      </c>
      <c r="Y12" s="14" t="n">
        <f aca="false">SUM(B12:X12)</f>
        <v>53</v>
      </c>
    </row>
    <row r="13" customFormat="false" ht="15" hidden="false" customHeight="false" outlineLevel="0" collapsed="false">
      <c r="A13" s="15" t="s">
        <v>1361</v>
      </c>
      <c r="B13" s="16" t="n">
        <f aca="false">SUM(B5:B12)</f>
        <v>20</v>
      </c>
      <c r="C13" s="16" t="n">
        <f aca="false">SUM(C5:C12)</f>
        <v>38</v>
      </c>
      <c r="D13" s="16" t="n">
        <f aca="false">SUM(D5:D12)</f>
        <v>43</v>
      </c>
      <c r="E13" s="16" t="n">
        <f aca="false">SUM(E5:E12)</f>
        <v>41</v>
      </c>
      <c r="F13" s="16" t="n">
        <f aca="false">SUM(F5:F12)</f>
        <v>57</v>
      </c>
      <c r="G13" s="16" t="n">
        <f aca="false">SUM(G5:G12)</f>
        <v>43</v>
      </c>
      <c r="H13" s="16" t="n">
        <f aca="false">SUM(H5:H12)</f>
        <v>66</v>
      </c>
      <c r="I13" s="16" t="n">
        <f aca="false">SUM(I5:I12)</f>
        <v>61</v>
      </c>
      <c r="J13" s="16" t="n">
        <f aca="false">SUM(J5:J12)</f>
        <v>63</v>
      </c>
      <c r="K13" s="16" t="n">
        <f aca="false">SUM(K5:K12)</f>
        <v>61</v>
      </c>
      <c r="L13" s="16" t="n">
        <f aca="false">SUM(L5:L12)</f>
        <v>65</v>
      </c>
      <c r="M13" s="16" t="n">
        <f aca="false">SUM(M5:M12)</f>
        <v>45</v>
      </c>
      <c r="N13" s="16" t="n">
        <f aca="false">SUM(N5:N12)</f>
        <v>45</v>
      </c>
      <c r="O13" s="16" t="n">
        <f aca="false">SUM(O5:O12)</f>
        <v>45</v>
      </c>
      <c r="P13" s="16" t="n">
        <f aca="false">SUM(P5:P12)</f>
        <v>47</v>
      </c>
      <c r="Q13" s="16" t="n">
        <f aca="false">SUM(Q5:Q12)</f>
        <v>44</v>
      </c>
      <c r="R13" s="16" t="n">
        <f aca="false">SUM(R5:R12)</f>
        <v>45</v>
      </c>
      <c r="S13" s="16" t="n">
        <f aca="false">SUM(S5:S12)</f>
        <v>30</v>
      </c>
      <c r="T13" s="16" t="n">
        <f aca="false">SUM(T5:T12)</f>
        <v>30</v>
      </c>
      <c r="U13" s="16" t="n">
        <f aca="false">SUM(U5:U12)</f>
        <v>30</v>
      </c>
      <c r="V13" s="16" t="n">
        <f aca="false">SUM(V5:V12)</f>
        <v>30</v>
      </c>
      <c r="W13" s="16" t="n">
        <f aca="false">SUM(W5:W12)</f>
        <v>25</v>
      </c>
      <c r="X13" s="16" t="n">
        <f aca="false">SUM(X5:X12)</f>
        <v>25</v>
      </c>
      <c r="Y13" s="16" t="n">
        <f aca="false">SUM(B13:X13)</f>
        <v>999</v>
      </c>
    </row>
  </sheetData>
  <mergeCells count="2">
    <mergeCell ref="A1:Z1"/>
    <mergeCell ref="A2:Z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4" min="4" style="0" width="45"/>
    <col collapsed="false" customWidth="true" hidden="false" outlineLevel="0" max="6" min="5" style="0" width="30"/>
    <col collapsed="false" customWidth="true" hidden="false" outlineLevel="0" max="8" min="7" style="0" width="10"/>
    <col collapsed="false" customWidth="true" hidden="false" outlineLevel="0" max="10" min="9" style="0" width="16"/>
    <col collapsed="false" customWidth="true" hidden="false" outlineLevel="0" max="11" min="11" style="0" width="24"/>
    <col collapsed="false" customWidth="true" hidden="false" outlineLevel="0" max="12" min="12" style="0" width="14"/>
  </cols>
  <sheetData>
    <row r="1" customFormat="false" ht="27.75" hidden="false" customHeight="true" outlineLevel="0" collapsed="false">
      <c r="A1" s="1" t="s">
        <v>1362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A2" s="2" t="s">
        <v>1363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7.75" hidden="false" customHeight="true" outlineLevel="0" collapsed="false">
      <c r="A4" s="6" t="s">
        <v>197</v>
      </c>
      <c r="B4" s="6" t="s">
        <v>37</v>
      </c>
      <c r="C4" s="6" t="s">
        <v>1364</v>
      </c>
      <c r="D4" s="6" t="s">
        <v>1365</v>
      </c>
      <c r="E4" s="6" t="s">
        <v>1366</v>
      </c>
      <c r="F4" s="6" t="s">
        <v>1367</v>
      </c>
      <c r="G4" s="6" t="s">
        <v>1368</v>
      </c>
      <c r="H4" s="6" t="s">
        <v>41</v>
      </c>
      <c r="I4" s="6" t="s">
        <v>1369</v>
      </c>
      <c r="J4" s="6" t="s">
        <v>51</v>
      </c>
      <c r="K4" s="6" t="s">
        <v>1370</v>
      </c>
      <c r="L4" s="6" t="s">
        <v>242</v>
      </c>
    </row>
    <row r="5" customFormat="false" ht="15" hidden="false" customHeight="false" outlineLevel="0" collapsed="false">
      <c r="A5" s="7" t="s">
        <v>1371</v>
      </c>
      <c r="B5" s="7"/>
      <c r="C5" s="7"/>
      <c r="D5" s="7"/>
      <c r="E5" s="7"/>
      <c r="F5" s="7"/>
      <c r="G5" s="7"/>
      <c r="H5" s="7"/>
      <c r="I5" s="7"/>
      <c r="J5" s="7" t="s">
        <v>239</v>
      </c>
      <c r="K5" s="7"/>
      <c r="L5" s="7"/>
    </row>
    <row r="6" customFormat="false" ht="15" hidden="false" customHeight="false" outlineLevel="0" collapsed="false">
      <c r="A6" s="7" t="s">
        <v>1371</v>
      </c>
      <c r="B6" s="7"/>
      <c r="C6" s="7"/>
      <c r="D6" s="7"/>
      <c r="E6" s="7"/>
      <c r="F6" s="7"/>
      <c r="G6" s="7"/>
      <c r="H6" s="7"/>
      <c r="I6" s="7"/>
      <c r="J6" s="7" t="s">
        <v>239</v>
      </c>
      <c r="K6" s="7"/>
      <c r="L6" s="7"/>
    </row>
    <row r="7" customFormat="false" ht="15" hidden="false" customHeight="false" outlineLevel="0" collapsed="false">
      <c r="A7" s="7" t="s">
        <v>1371</v>
      </c>
      <c r="B7" s="7"/>
      <c r="C7" s="7"/>
      <c r="D7" s="7"/>
      <c r="E7" s="7"/>
      <c r="F7" s="7"/>
      <c r="G7" s="7"/>
      <c r="H7" s="7"/>
      <c r="I7" s="7"/>
      <c r="J7" s="7" t="s">
        <v>239</v>
      </c>
      <c r="K7" s="7"/>
      <c r="L7" s="7"/>
    </row>
    <row r="8" customFormat="false" ht="15" hidden="false" customHeight="false" outlineLevel="0" collapsed="false">
      <c r="A8" s="7" t="s">
        <v>1371</v>
      </c>
      <c r="B8" s="7"/>
      <c r="C8" s="7"/>
      <c r="D8" s="7"/>
      <c r="E8" s="7"/>
      <c r="F8" s="7"/>
      <c r="G8" s="7"/>
      <c r="H8" s="7"/>
      <c r="I8" s="7"/>
      <c r="J8" s="7" t="s">
        <v>239</v>
      </c>
      <c r="K8" s="7"/>
      <c r="L8" s="7"/>
    </row>
    <row r="9" customFormat="false" ht="15" hidden="false" customHeight="false" outlineLevel="0" collapsed="false">
      <c r="A9" s="7" t="s">
        <v>1371</v>
      </c>
      <c r="B9" s="7"/>
      <c r="C9" s="7"/>
      <c r="D9" s="7"/>
      <c r="E9" s="7"/>
      <c r="F9" s="7"/>
      <c r="G9" s="7"/>
      <c r="H9" s="7"/>
      <c r="I9" s="7"/>
      <c r="J9" s="7" t="s">
        <v>239</v>
      </c>
      <c r="K9" s="7"/>
      <c r="L9" s="7"/>
    </row>
    <row r="10" customFormat="false" ht="15" hidden="false" customHeight="false" outlineLevel="0" collapsed="false">
      <c r="A10" s="7" t="s">
        <v>1371</v>
      </c>
      <c r="B10" s="7"/>
      <c r="C10" s="7"/>
      <c r="D10" s="7"/>
      <c r="E10" s="7"/>
      <c r="F10" s="7"/>
      <c r="G10" s="7"/>
      <c r="H10" s="7"/>
      <c r="I10" s="7"/>
      <c r="J10" s="7" t="s">
        <v>239</v>
      </c>
      <c r="K10" s="7"/>
      <c r="L10" s="7"/>
    </row>
    <row r="11" customFormat="false" ht="15" hidden="false" customHeight="false" outlineLevel="0" collapsed="false">
      <c r="A11" s="7" t="s">
        <v>1371</v>
      </c>
      <c r="B11" s="7"/>
      <c r="C11" s="7"/>
      <c r="D11" s="7"/>
      <c r="E11" s="7"/>
      <c r="F11" s="7"/>
      <c r="G11" s="7"/>
      <c r="H11" s="7"/>
      <c r="I11" s="7"/>
      <c r="J11" s="7" t="s">
        <v>239</v>
      </c>
      <c r="K11" s="7"/>
      <c r="L11" s="7"/>
    </row>
    <row r="12" customFormat="false" ht="15" hidden="false" customHeight="false" outlineLevel="0" collapsed="false">
      <c r="A12" s="7" t="s">
        <v>1371</v>
      </c>
      <c r="B12" s="7"/>
      <c r="C12" s="7"/>
      <c r="D12" s="7"/>
      <c r="E12" s="7"/>
      <c r="F12" s="7"/>
      <c r="G12" s="7"/>
      <c r="H12" s="7"/>
      <c r="I12" s="7"/>
      <c r="J12" s="7" t="s">
        <v>239</v>
      </c>
      <c r="K12" s="7"/>
      <c r="L12" s="7"/>
    </row>
    <row r="13" customFormat="false" ht="15" hidden="false" customHeight="false" outlineLevel="0" collapsed="false">
      <c r="A13" s="7" t="s">
        <v>1371</v>
      </c>
      <c r="B13" s="7"/>
      <c r="C13" s="7"/>
      <c r="D13" s="7"/>
      <c r="E13" s="7"/>
      <c r="F13" s="7"/>
      <c r="G13" s="7"/>
      <c r="H13" s="7"/>
      <c r="I13" s="7"/>
      <c r="J13" s="7" t="s">
        <v>239</v>
      </c>
      <c r="K13" s="7"/>
      <c r="L13" s="7"/>
    </row>
    <row r="14" customFormat="false" ht="15" hidden="false" customHeight="false" outlineLevel="0" collapsed="false">
      <c r="A14" s="7" t="s">
        <v>1371</v>
      </c>
      <c r="B14" s="7"/>
      <c r="C14" s="7"/>
      <c r="D14" s="7"/>
      <c r="E14" s="7"/>
      <c r="F14" s="7"/>
      <c r="G14" s="7"/>
      <c r="H14" s="7"/>
      <c r="I14" s="7"/>
      <c r="J14" s="7" t="s">
        <v>239</v>
      </c>
      <c r="K14" s="7"/>
      <c r="L14" s="7"/>
    </row>
    <row r="15" customFormat="false" ht="15" hidden="false" customHeight="false" outlineLevel="0" collapsed="false">
      <c r="A15" s="7" t="s">
        <v>1371</v>
      </c>
      <c r="B15" s="7"/>
      <c r="C15" s="7"/>
      <c r="D15" s="7"/>
      <c r="E15" s="7"/>
      <c r="F15" s="7"/>
      <c r="G15" s="7"/>
      <c r="H15" s="7"/>
      <c r="I15" s="7"/>
      <c r="J15" s="7" t="s">
        <v>239</v>
      </c>
      <c r="K15" s="7"/>
      <c r="L15" s="7"/>
    </row>
    <row r="16" customFormat="false" ht="15" hidden="false" customHeight="false" outlineLevel="0" collapsed="false">
      <c r="A16" s="7" t="s">
        <v>1371</v>
      </c>
      <c r="B16" s="7"/>
      <c r="C16" s="7"/>
      <c r="D16" s="7"/>
      <c r="E16" s="7"/>
      <c r="F16" s="7"/>
      <c r="G16" s="7"/>
      <c r="H16" s="7"/>
      <c r="I16" s="7"/>
      <c r="J16" s="7" t="s">
        <v>239</v>
      </c>
      <c r="K16" s="7"/>
      <c r="L16" s="7"/>
    </row>
    <row r="17" customFormat="false" ht="15" hidden="false" customHeight="false" outlineLevel="0" collapsed="false">
      <c r="A17" s="7" t="s">
        <v>1371</v>
      </c>
      <c r="B17" s="7"/>
      <c r="C17" s="7"/>
      <c r="D17" s="7"/>
      <c r="E17" s="7"/>
      <c r="F17" s="7"/>
      <c r="G17" s="7"/>
      <c r="H17" s="7"/>
      <c r="I17" s="7"/>
      <c r="J17" s="7" t="s">
        <v>239</v>
      </c>
      <c r="K17" s="7"/>
      <c r="L17" s="7"/>
    </row>
    <row r="18" customFormat="false" ht="15" hidden="false" customHeight="false" outlineLevel="0" collapsed="false">
      <c r="A18" s="7" t="s">
        <v>1371</v>
      </c>
      <c r="B18" s="7"/>
      <c r="C18" s="7"/>
      <c r="D18" s="7"/>
      <c r="E18" s="7"/>
      <c r="F18" s="7"/>
      <c r="G18" s="7"/>
      <c r="H18" s="7"/>
      <c r="I18" s="7"/>
      <c r="J18" s="7" t="s">
        <v>239</v>
      </c>
      <c r="K18" s="7"/>
      <c r="L18" s="7"/>
    </row>
    <row r="19" customFormat="false" ht="15" hidden="false" customHeight="false" outlineLevel="0" collapsed="false">
      <c r="A19" s="7" t="s">
        <v>1371</v>
      </c>
      <c r="B19" s="7"/>
      <c r="C19" s="7"/>
      <c r="D19" s="7"/>
      <c r="E19" s="7"/>
      <c r="F19" s="7"/>
      <c r="G19" s="7"/>
      <c r="H19" s="7"/>
      <c r="I19" s="7"/>
      <c r="J19" s="7" t="s">
        <v>239</v>
      </c>
      <c r="K19" s="7"/>
      <c r="L19" s="7"/>
    </row>
    <row r="20" customFormat="false" ht="15" hidden="false" customHeight="false" outlineLevel="0" collapsed="false">
      <c r="A20" s="7" t="s">
        <v>1371</v>
      </c>
      <c r="B20" s="7"/>
      <c r="C20" s="7"/>
      <c r="D20" s="7"/>
      <c r="E20" s="7"/>
      <c r="F20" s="7"/>
      <c r="G20" s="7"/>
      <c r="H20" s="7"/>
      <c r="I20" s="7"/>
      <c r="J20" s="7" t="s">
        <v>239</v>
      </c>
      <c r="K20" s="7"/>
      <c r="L20" s="7"/>
    </row>
    <row r="21" customFormat="false" ht="15" hidden="false" customHeight="false" outlineLevel="0" collapsed="false">
      <c r="A21" s="7" t="s">
        <v>1371</v>
      </c>
      <c r="B21" s="7"/>
      <c r="C21" s="7"/>
      <c r="D21" s="7"/>
      <c r="E21" s="7"/>
      <c r="F21" s="7"/>
      <c r="G21" s="7"/>
      <c r="H21" s="7"/>
      <c r="I21" s="7"/>
      <c r="J21" s="7" t="s">
        <v>239</v>
      </c>
      <c r="K21" s="7"/>
      <c r="L21" s="7"/>
    </row>
    <row r="22" customFormat="false" ht="15" hidden="false" customHeight="false" outlineLevel="0" collapsed="false">
      <c r="A22" s="7" t="s">
        <v>1371</v>
      </c>
      <c r="B22" s="7"/>
      <c r="C22" s="7"/>
      <c r="D22" s="7"/>
      <c r="E22" s="7"/>
      <c r="F22" s="7"/>
      <c r="G22" s="7"/>
      <c r="H22" s="7"/>
      <c r="I22" s="7"/>
      <c r="J22" s="7" t="s">
        <v>239</v>
      </c>
      <c r="K22" s="7"/>
      <c r="L22" s="7"/>
    </row>
    <row r="23" customFormat="false" ht="15" hidden="false" customHeight="false" outlineLevel="0" collapsed="false">
      <c r="A23" s="7" t="s">
        <v>1371</v>
      </c>
      <c r="B23" s="7"/>
      <c r="C23" s="7"/>
      <c r="D23" s="7"/>
      <c r="E23" s="7"/>
      <c r="F23" s="7"/>
      <c r="G23" s="7"/>
      <c r="H23" s="7"/>
      <c r="I23" s="7"/>
      <c r="J23" s="7" t="s">
        <v>239</v>
      </c>
      <c r="K23" s="7"/>
      <c r="L23" s="7"/>
    </row>
    <row r="24" customFormat="false" ht="15" hidden="false" customHeight="false" outlineLevel="0" collapsed="false">
      <c r="A24" s="7" t="s">
        <v>1371</v>
      </c>
      <c r="B24" s="7"/>
      <c r="C24" s="7"/>
      <c r="D24" s="7"/>
      <c r="E24" s="7"/>
      <c r="F24" s="7"/>
      <c r="G24" s="7"/>
      <c r="H24" s="7"/>
      <c r="I24" s="7"/>
      <c r="J24" s="7" t="s">
        <v>239</v>
      </c>
      <c r="K24" s="7"/>
      <c r="L24" s="7"/>
    </row>
    <row r="25" customFormat="false" ht="15" hidden="false" customHeight="false" outlineLevel="0" collapsed="false">
      <c r="A25" s="7" t="s">
        <v>1371</v>
      </c>
      <c r="B25" s="7"/>
      <c r="C25" s="7"/>
      <c r="D25" s="7"/>
      <c r="E25" s="7"/>
      <c r="F25" s="7"/>
      <c r="G25" s="7"/>
      <c r="H25" s="7"/>
      <c r="I25" s="7"/>
      <c r="J25" s="7" t="s">
        <v>239</v>
      </c>
      <c r="K25" s="7"/>
      <c r="L25" s="7"/>
    </row>
    <row r="26" customFormat="false" ht="15" hidden="false" customHeight="false" outlineLevel="0" collapsed="false">
      <c r="A26" s="7" t="s">
        <v>1371</v>
      </c>
      <c r="B26" s="7"/>
      <c r="C26" s="7"/>
      <c r="D26" s="7"/>
      <c r="E26" s="7"/>
      <c r="F26" s="7"/>
      <c r="G26" s="7"/>
      <c r="H26" s="7"/>
      <c r="I26" s="7"/>
      <c r="J26" s="7" t="s">
        <v>239</v>
      </c>
      <c r="K26" s="7"/>
      <c r="L26" s="7"/>
    </row>
    <row r="27" customFormat="false" ht="15" hidden="false" customHeight="false" outlineLevel="0" collapsed="false">
      <c r="A27" s="7" t="s">
        <v>1371</v>
      </c>
      <c r="B27" s="7"/>
      <c r="C27" s="7"/>
      <c r="D27" s="7"/>
      <c r="E27" s="7"/>
      <c r="F27" s="7"/>
      <c r="G27" s="7"/>
      <c r="H27" s="7"/>
      <c r="I27" s="7"/>
      <c r="J27" s="7" t="s">
        <v>239</v>
      </c>
      <c r="K27" s="7"/>
      <c r="L27" s="7"/>
    </row>
    <row r="28" customFormat="false" ht="15" hidden="false" customHeight="false" outlineLevel="0" collapsed="false">
      <c r="A28" s="7" t="s">
        <v>1371</v>
      </c>
      <c r="B28" s="7"/>
      <c r="C28" s="7"/>
      <c r="D28" s="7"/>
      <c r="E28" s="7"/>
      <c r="F28" s="7"/>
      <c r="G28" s="7"/>
      <c r="H28" s="7"/>
      <c r="I28" s="7"/>
      <c r="J28" s="7" t="s">
        <v>239</v>
      </c>
      <c r="K28" s="7"/>
      <c r="L28" s="7"/>
    </row>
    <row r="29" customFormat="false" ht="15" hidden="false" customHeight="false" outlineLevel="0" collapsed="false">
      <c r="A29" s="7" t="s">
        <v>1371</v>
      </c>
      <c r="B29" s="7"/>
      <c r="C29" s="7"/>
      <c r="D29" s="7"/>
      <c r="E29" s="7"/>
      <c r="F29" s="7"/>
      <c r="G29" s="7"/>
      <c r="H29" s="7"/>
      <c r="I29" s="7"/>
      <c r="J29" s="7" t="s">
        <v>239</v>
      </c>
      <c r="K29" s="7"/>
      <c r="L29" s="7"/>
    </row>
    <row r="30" customFormat="false" ht="15" hidden="false" customHeight="false" outlineLevel="0" collapsed="false">
      <c r="A30" s="7" t="s">
        <v>1371</v>
      </c>
      <c r="B30" s="7"/>
      <c r="C30" s="7"/>
      <c r="D30" s="7"/>
      <c r="E30" s="7"/>
      <c r="F30" s="7"/>
      <c r="G30" s="7"/>
      <c r="H30" s="7"/>
      <c r="I30" s="7"/>
      <c r="J30" s="7" t="s">
        <v>239</v>
      </c>
      <c r="K30" s="7"/>
      <c r="L30" s="7"/>
    </row>
    <row r="31" customFormat="false" ht="15" hidden="false" customHeight="false" outlineLevel="0" collapsed="false">
      <c r="A31" s="7" t="s">
        <v>1371</v>
      </c>
      <c r="B31" s="7"/>
      <c r="C31" s="7"/>
      <c r="D31" s="7"/>
      <c r="E31" s="7"/>
      <c r="F31" s="7"/>
      <c r="G31" s="7"/>
      <c r="H31" s="7"/>
      <c r="I31" s="7"/>
      <c r="J31" s="7" t="s">
        <v>239</v>
      </c>
      <c r="K31" s="7"/>
      <c r="L31" s="7"/>
    </row>
    <row r="32" customFormat="false" ht="15" hidden="false" customHeight="false" outlineLevel="0" collapsed="false">
      <c r="A32" s="7" t="s">
        <v>1371</v>
      </c>
      <c r="B32" s="7"/>
      <c r="C32" s="7"/>
      <c r="D32" s="7"/>
      <c r="E32" s="7"/>
      <c r="F32" s="7"/>
      <c r="G32" s="7"/>
      <c r="H32" s="7"/>
      <c r="I32" s="7"/>
      <c r="J32" s="7" t="s">
        <v>239</v>
      </c>
      <c r="K32" s="7"/>
      <c r="L32" s="7"/>
    </row>
    <row r="33" customFormat="false" ht="15" hidden="false" customHeight="false" outlineLevel="0" collapsed="false">
      <c r="A33" s="7" t="s">
        <v>1371</v>
      </c>
      <c r="B33" s="7"/>
      <c r="C33" s="7"/>
      <c r="D33" s="7"/>
      <c r="E33" s="7"/>
      <c r="F33" s="7"/>
      <c r="G33" s="7"/>
      <c r="H33" s="7"/>
      <c r="I33" s="7"/>
      <c r="J33" s="7" t="s">
        <v>239</v>
      </c>
      <c r="K33" s="7"/>
      <c r="L33" s="7"/>
    </row>
    <row r="34" customFormat="false" ht="15" hidden="false" customHeight="false" outlineLevel="0" collapsed="false">
      <c r="A34" s="7" t="s">
        <v>1371</v>
      </c>
      <c r="B34" s="7"/>
      <c r="C34" s="7"/>
      <c r="D34" s="7"/>
      <c r="E34" s="7"/>
      <c r="F34" s="7"/>
      <c r="G34" s="7"/>
      <c r="H34" s="7"/>
      <c r="I34" s="7"/>
      <c r="J34" s="7" t="s">
        <v>239</v>
      </c>
      <c r="K34" s="7"/>
      <c r="L34" s="7"/>
    </row>
    <row r="35" customFormat="false" ht="15" hidden="false" customHeight="false" outlineLevel="0" collapsed="false">
      <c r="A35" s="7" t="s">
        <v>1371</v>
      </c>
      <c r="B35" s="7"/>
      <c r="C35" s="7"/>
      <c r="D35" s="7"/>
      <c r="E35" s="7"/>
      <c r="F35" s="7"/>
      <c r="G35" s="7"/>
      <c r="H35" s="7"/>
      <c r="I35" s="7"/>
      <c r="J35" s="7" t="s">
        <v>239</v>
      </c>
      <c r="K35" s="7"/>
      <c r="L35" s="7"/>
    </row>
    <row r="36" customFormat="false" ht="15" hidden="false" customHeight="false" outlineLevel="0" collapsed="false">
      <c r="A36" s="7" t="s">
        <v>1371</v>
      </c>
      <c r="B36" s="7"/>
      <c r="C36" s="7"/>
      <c r="D36" s="7"/>
      <c r="E36" s="7"/>
      <c r="F36" s="7"/>
      <c r="G36" s="7"/>
      <c r="H36" s="7"/>
      <c r="I36" s="7"/>
      <c r="J36" s="7" t="s">
        <v>239</v>
      </c>
      <c r="K36" s="7"/>
      <c r="L36" s="7"/>
    </row>
    <row r="37" customFormat="false" ht="15" hidden="false" customHeight="false" outlineLevel="0" collapsed="false">
      <c r="A37" s="7" t="s">
        <v>1371</v>
      </c>
      <c r="B37" s="7"/>
      <c r="C37" s="7"/>
      <c r="D37" s="7"/>
      <c r="E37" s="7"/>
      <c r="F37" s="7"/>
      <c r="G37" s="7"/>
      <c r="H37" s="7"/>
      <c r="I37" s="7"/>
      <c r="J37" s="7" t="s">
        <v>239</v>
      </c>
      <c r="K37" s="7"/>
      <c r="L37" s="7"/>
    </row>
    <row r="38" customFormat="false" ht="15" hidden="false" customHeight="false" outlineLevel="0" collapsed="false">
      <c r="A38" s="7" t="s">
        <v>1371</v>
      </c>
      <c r="B38" s="7"/>
      <c r="C38" s="7"/>
      <c r="D38" s="7"/>
      <c r="E38" s="7"/>
      <c r="F38" s="7"/>
      <c r="G38" s="7"/>
      <c r="H38" s="7"/>
      <c r="I38" s="7"/>
      <c r="J38" s="7" t="s">
        <v>239</v>
      </c>
      <c r="K38" s="7"/>
      <c r="L38" s="7"/>
    </row>
    <row r="39" customFormat="false" ht="15" hidden="false" customHeight="false" outlineLevel="0" collapsed="false">
      <c r="A39" s="7" t="s">
        <v>1371</v>
      </c>
      <c r="B39" s="7"/>
      <c r="C39" s="7"/>
      <c r="D39" s="7"/>
      <c r="E39" s="7"/>
      <c r="F39" s="7"/>
      <c r="G39" s="7"/>
      <c r="H39" s="7"/>
      <c r="I39" s="7"/>
      <c r="J39" s="7" t="s">
        <v>239</v>
      </c>
      <c r="K39" s="7"/>
      <c r="L39" s="7"/>
    </row>
    <row r="40" customFormat="false" ht="15" hidden="false" customHeight="false" outlineLevel="0" collapsed="false">
      <c r="A40" s="7" t="s">
        <v>1371</v>
      </c>
      <c r="B40" s="7"/>
      <c r="C40" s="7"/>
      <c r="D40" s="7"/>
      <c r="E40" s="7"/>
      <c r="F40" s="7"/>
      <c r="G40" s="7"/>
      <c r="H40" s="7"/>
      <c r="I40" s="7"/>
      <c r="J40" s="7" t="s">
        <v>239</v>
      </c>
      <c r="K40" s="7"/>
      <c r="L40" s="7"/>
    </row>
    <row r="41" customFormat="false" ht="15" hidden="false" customHeight="false" outlineLevel="0" collapsed="false">
      <c r="A41" s="7" t="s">
        <v>1371</v>
      </c>
      <c r="B41" s="7"/>
      <c r="C41" s="7"/>
      <c r="D41" s="7"/>
      <c r="E41" s="7"/>
      <c r="F41" s="7"/>
      <c r="G41" s="7"/>
      <c r="H41" s="7"/>
      <c r="I41" s="7"/>
      <c r="J41" s="7" t="s">
        <v>239</v>
      </c>
      <c r="K41" s="7"/>
      <c r="L41" s="7"/>
    </row>
    <row r="42" customFormat="false" ht="15" hidden="false" customHeight="false" outlineLevel="0" collapsed="false">
      <c r="A42" s="7" t="s">
        <v>1371</v>
      </c>
      <c r="B42" s="7"/>
      <c r="C42" s="7"/>
      <c r="D42" s="7"/>
      <c r="E42" s="7"/>
      <c r="F42" s="7"/>
      <c r="G42" s="7"/>
      <c r="H42" s="7"/>
      <c r="I42" s="7"/>
      <c r="J42" s="7" t="s">
        <v>239</v>
      </c>
      <c r="K42" s="7"/>
      <c r="L42" s="7"/>
    </row>
    <row r="43" customFormat="false" ht="15" hidden="false" customHeight="false" outlineLevel="0" collapsed="false">
      <c r="A43" s="7" t="s">
        <v>1371</v>
      </c>
      <c r="B43" s="7"/>
      <c r="C43" s="7"/>
      <c r="D43" s="7"/>
      <c r="E43" s="7"/>
      <c r="F43" s="7"/>
      <c r="G43" s="7"/>
      <c r="H43" s="7"/>
      <c r="I43" s="7"/>
      <c r="J43" s="7" t="s">
        <v>239</v>
      </c>
      <c r="K43" s="7"/>
      <c r="L43" s="7"/>
    </row>
    <row r="44" customFormat="false" ht="15" hidden="false" customHeight="false" outlineLevel="0" collapsed="false">
      <c r="A44" s="7" t="s">
        <v>1371</v>
      </c>
      <c r="B44" s="7"/>
      <c r="C44" s="7"/>
      <c r="D44" s="7"/>
      <c r="E44" s="7"/>
      <c r="F44" s="7"/>
      <c r="G44" s="7"/>
      <c r="H44" s="7"/>
      <c r="I44" s="7"/>
      <c r="J44" s="7" t="s">
        <v>239</v>
      </c>
      <c r="K44" s="7"/>
      <c r="L44" s="7"/>
    </row>
    <row r="45" customFormat="false" ht="15" hidden="false" customHeight="false" outlineLevel="0" collapsed="false">
      <c r="A45" s="7" t="s">
        <v>1371</v>
      </c>
      <c r="B45" s="7"/>
      <c r="C45" s="7"/>
      <c r="D45" s="7"/>
      <c r="E45" s="7"/>
      <c r="F45" s="7"/>
      <c r="G45" s="7"/>
      <c r="H45" s="7"/>
      <c r="I45" s="7"/>
      <c r="J45" s="7" t="s">
        <v>239</v>
      </c>
      <c r="K45" s="7"/>
      <c r="L45" s="7"/>
    </row>
    <row r="46" customFormat="false" ht="15" hidden="false" customHeight="false" outlineLevel="0" collapsed="false">
      <c r="A46" s="7" t="s">
        <v>1371</v>
      </c>
      <c r="B46" s="7"/>
      <c r="C46" s="7"/>
      <c r="D46" s="7"/>
      <c r="E46" s="7"/>
      <c r="F46" s="7"/>
      <c r="G46" s="7"/>
      <c r="H46" s="7"/>
      <c r="I46" s="7"/>
      <c r="J46" s="7" t="s">
        <v>239</v>
      </c>
      <c r="K46" s="7"/>
      <c r="L46" s="7"/>
    </row>
    <row r="47" customFormat="false" ht="15" hidden="false" customHeight="false" outlineLevel="0" collapsed="false">
      <c r="A47" s="7" t="s">
        <v>1371</v>
      </c>
      <c r="B47" s="7"/>
      <c r="C47" s="7"/>
      <c r="D47" s="7"/>
      <c r="E47" s="7"/>
      <c r="F47" s="7"/>
      <c r="G47" s="7"/>
      <c r="H47" s="7"/>
      <c r="I47" s="7"/>
      <c r="J47" s="7" t="s">
        <v>239</v>
      </c>
      <c r="K47" s="7"/>
      <c r="L47" s="7"/>
    </row>
    <row r="48" customFormat="false" ht="15" hidden="false" customHeight="false" outlineLevel="0" collapsed="false">
      <c r="A48" s="7" t="s">
        <v>1371</v>
      </c>
      <c r="B48" s="7"/>
      <c r="C48" s="7"/>
      <c r="D48" s="7"/>
      <c r="E48" s="7"/>
      <c r="F48" s="7"/>
      <c r="G48" s="7"/>
      <c r="H48" s="7"/>
      <c r="I48" s="7"/>
      <c r="J48" s="7" t="s">
        <v>239</v>
      </c>
      <c r="K48" s="7"/>
      <c r="L48" s="7"/>
    </row>
    <row r="49" customFormat="false" ht="15" hidden="false" customHeight="false" outlineLevel="0" collapsed="false">
      <c r="A49" s="7" t="s">
        <v>1371</v>
      </c>
      <c r="B49" s="7"/>
      <c r="C49" s="7"/>
      <c r="D49" s="7"/>
      <c r="E49" s="7"/>
      <c r="F49" s="7"/>
      <c r="G49" s="7"/>
      <c r="H49" s="7"/>
      <c r="I49" s="7"/>
      <c r="J49" s="7" t="s">
        <v>239</v>
      </c>
      <c r="K49" s="7"/>
      <c r="L49" s="7"/>
    </row>
    <row r="50" customFormat="false" ht="15" hidden="false" customHeight="false" outlineLevel="0" collapsed="false">
      <c r="A50" s="7" t="s">
        <v>1371</v>
      </c>
      <c r="B50" s="7"/>
      <c r="C50" s="7"/>
      <c r="D50" s="7"/>
      <c r="E50" s="7"/>
      <c r="F50" s="7"/>
      <c r="G50" s="7"/>
      <c r="H50" s="7"/>
      <c r="I50" s="7"/>
      <c r="J50" s="7" t="s">
        <v>239</v>
      </c>
      <c r="K50" s="7"/>
      <c r="L50" s="7"/>
    </row>
    <row r="51" customFormat="false" ht="15" hidden="false" customHeight="false" outlineLevel="0" collapsed="false">
      <c r="A51" s="7" t="s">
        <v>1371</v>
      </c>
      <c r="B51" s="7"/>
      <c r="C51" s="7"/>
      <c r="D51" s="7"/>
      <c r="E51" s="7"/>
      <c r="F51" s="7"/>
      <c r="G51" s="7"/>
      <c r="H51" s="7"/>
      <c r="I51" s="7"/>
      <c r="J51" s="7" t="s">
        <v>239</v>
      </c>
      <c r="K51" s="7"/>
      <c r="L51" s="7"/>
    </row>
    <row r="52" customFormat="false" ht="15" hidden="false" customHeight="false" outlineLevel="0" collapsed="false">
      <c r="A52" s="7" t="s">
        <v>1371</v>
      </c>
      <c r="B52" s="7"/>
      <c r="C52" s="7"/>
      <c r="D52" s="7"/>
      <c r="E52" s="7"/>
      <c r="F52" s="7"/>
      <c r="G52" s="7"/>
      <c r="H52" s="7"/>
      <c r="I52" s="7"/>
      <c r="J52" s="7" t="s">
        <v>239</v>
      </c>
      <c r="K52" s="7"/>
      <c r="L52" s="7"/>
    </row>
    <row r="53" customFormat="false" ht="15" hidden="false" customHeight="false" outlineLevel="0" collapsed="false">
      <c r="A53" s="7" t="s">
        <v>1371</v>
      </c>
      <c r="B53" s="7"/>
      <c r="C53" s="7"/>
      <c r="D53" s="7"/>
      <c r="E53" s="7"/>
      <c r="F53" s="7"/>
      <c r="G53" s="7"/>
      <c r="H53" s="7"/>
      <c r="I53" s="7"/>
      <c r="J53" s="7" t="s">
        <v>239</v>
      </c>
      <c r="K53" s="7"/>
      <c r="L53" s="7"/>
    </row>
    <row r="54" customFormat="false" ht="15" hidden="false" customHeight="false" outlineLevel="0" collapsed="false">
      <c r="A54" s="7" t="s">
        <v>1371</v>
      </c>
      <c r="B54" s="7"/>
      <c r="C54" s="7"/>
      <c r="D54" s="7"/>
      <c r="E54" s="7"/>
      <c r="F54" s="7"/>
      <c r="G54" s="7"/>
      <c r="H54" s="7"/>
      <c r="I54" s="7"/>
      <c r="J54" s="7" t="s">
        <v>239</v>
      </c>
      <c r="K54" s="7"/>
      <c r="L54" s="7"/>
    </row>
    <row r="55" customFormat="false" ht="15" hidden="false" customHeight="false" outlineLevel="0" collapsed="false">
      <c r="A55" s="7" t="s">
        <v>1371</v>
      </c>
      <c r="B55" s="7"/>
      <c r="C55" s="7"/>
      <c r="D55" s="7"/>
      <c r="E55" s="7"/>
      <c r="F55" s="7"/>
      <c r="G55" s="7"/>
      <c r="H55" s="7"/>
      <c r="I55" s="7"/>
      <c r="J55" s="7" t="s">
        <v>239</v>
      </c>
      <c r="K55" s="7"/>
      <c r="L55" s="7"/>
    </row>
    <row r="56" customFormat="false" ht="15" hidden="false" customHeight="false" outlineLevel="0" collapsed="false">
      <c r="A56" s="7" t="s">
        <v>1371</v>
      </c>
      <c r="B56" s="7"/>
      <c r="C56" s="7"/>
      <c r="D56" s="7"/>
      <c r="E56" s="7"/>
      <c r="F56" s="7"/>
      <c r="G56" s="7"/>
      <c r="H56" s="7"/>
      <c r="I56" s="7"/>
      <c r="J56" s="7" t="s">
        <v>239</v>
      </c>
      <c r="K56" s="7"/>
      <c r="L56" s="7"/>
    </row>
    <row r="57" customFormat="false" ht="15" hidden="false" customHeight="false" outlineLevel="0" collapsed="false">
      <c r="A57" s="7" t="s">
        <v>1371</v>
      </c>
      <c r="B57" s="7"/>
      <c r="C57" s="7"/>
      <c r="D57" s="7"/>
      <c r="E57" s="7"/>
      <c r="F57" s="7"/>
      <c r="G57" s="7"/>
      <c r="H57" s="7"/>
      <c r="I57" s="7"/>
      <c r="J57" s="7" t="s">
        <v>239</v>
      </c>
      <c r="K57" s="7"/>
      <c r="L57" s="7"/>
    </row>
    <row r="58" customFormat="false" ht="15" hidden="false" customHeight="false" outlineLevel="0" collapsed="false">
      <c r="A58" s="7" t="s">
        <v>1371</v>
      </c>
      <c r="B58" s="7"/>
      <c r="C58" s="7"/>
      <c r="D58" s="7"/>
      <c r="E58" s="7"/>
      <c r="F58" s="7"/>
      <c r="G58" s="7"/>
      <c r="H58" s="7"/>
      <c r="I58" s="7"/>
      <c r="J58" s="7" t="s">
        <v>239</v>
      </c>
      <c r="K58" s="7"/>
      <c r="L58" s="7"/>
    </row>
    <row r="59" customFormat="false" ht="15" hidden="false" customHeight="false" outlineLevel="0" collapsed="false">
      <c r="A59" s="7" t="s">
        <v>1371</v>
      </c>
      <c r="B59" s="7"/>
      <c r="C59" s="7"/>
      <c r="D59" s="7"/>
      <c r="E59" s="7"/>
      <c r="F59" s="7"/>
      <c r="G59" s="7"/>
      <c r="H59" s="7"/>
      <c r="I59" s="7"/>
      <c r="J59" s="7" t="s">
        <v>239</v>
      </c>
      <c r="K59" s="7"/>
      <c r="L59" s="7"/>
    </row>
    <row r="60" customFormat="false" ht="15" hidden="false" customHeight="false" outlineLevel="0" collapsed="false">
      <c r="A60" s="7" t="s">
        <v>1371</v>
      </c>
      <c r="B60" s="7"/>
      <c r="C60" s="7"/>
      <c r="D60" s="7"/>
      <c r="E60" s="7"/>
      <c r="F60" s="7"/>
      <c r="G60" s="7"/>
      <c r="H60" s="7"/>
      <c r="I60" s="7"/>
      <c r="J60" s="7" t="s">
        <v>239</v>
      </c>
      <c r="K60" s="7"/>
      <c r="L60" s="7"/>
    </row>
    <row r="61" customFormat="false" ht="15" hidden="false" customHeight="false" outlineLevel="0" collapsed="false">
      <c r="A61" s="7" t="s">
        <v>1371</v>
      </c>
      <c r="B61" s="7"/>
      <c r="C61" s="7"/>
      <c r="D61" s="7"/>
      <c r="E61" s="7"/>
      <c r="F61" s="7"/>
      <c r="G61" s="7"/>
      <c r="H61" s="7"/>
      <c r="I61" s="7"/>
      <c r="J61" s="7" t="s">
        <v>239</v>
      </c>
      <c r="K61" s="7"/>
      <c r="L61" s="7"/>
    </row>
    <row r="62" customFormat="false" ht="15" hidden="false" customHeight="false" outlineLevel="0" collapsed="false">
      <c r="A62" s="7" t="s">
        <v>1371</v>
      </c>
      <c r="B62" s="7"/>
      <c r="C62" s="7"/>
      <c r="D62" s="7"/>
      <c r="E62" s="7"/>
      <c r="F62" s="7"/>
      <c r="G62" s="7"/>
      <c r="H62" s="7"/>
      <c r="I62" s="7"/>
      <c r="J62" s="7" t="s">
        <v>239</v>
      </c>
      <c r="K62" s="7"/>
      <c r="L62" s="7"/>
    </row>
    <row r="63" customFormat="false" ht="15" hidden="false" customHeight="false" outlineLevel="0" collapsed="false">
      <c r="A63" s="7" t="s">
        <v>1371</v>
      </c>
      <c r="B63" s="7"/>
      <c r="C63" s="7"/>
      <c r="D63" s="7"/>
      <c r="E63" s="7"/>
      <c r="F63" s="7"/>
      <c r="G63" s="7"/>
      <c r="H63" s="7"/>
      <c r="I63" s="7"/>
      <c r="J63" s="7" t="s">
        <v>239</v>
      </c>
      <c r="K63" s="7"/>
      <c r="L63" s="7"/>
    </row>
    <row r="64" customFormat="false" ht="15" hidden="false" customHeight="false" outlineLevel="0" collapsed="false">
      <c r="A64" s="7" t="s">
        <v>1371</v>
      </c>
      <c r="B64" s="7"/>
      <c r="C64" s="7"/>
      <c r="D64" s="7"/>
      <c r="E64" s="7"/>
      <c r="F64" s="7"/>
      <c r="G64" s="7"/>
      <c r="H64" s="7"/>
      <c r="I64" s="7"/>
      <c r="J64" s="7" t="s">
        <v>239</v>
      </c>
      <c r="K64" s="7"/>
      <c r="L64" s="7"/>
    </row>
    <row r="65" customFormat="false" ht="15" hidden="false" customHeight="false" outlineLevel="0" collapsed="false">
      <c r="A65" s="7" t="s">
        <v>1371</v>
      </c>
      <c r="B65" s="7"/>
      <c r="C65" s="7"/>
      <c r="D65" s="7"/>
      <c r="E65" s="7"/>
      <c r="F65" s="7"/>
      <c r="G65" s="7"/>
      <c r="H65" s="7"/>
      <c r="I65" s="7"/>
      <c r="J65" s="7" t="s">
        <v>239</v>
      </c>
      <c r="K65" s="7"/>
      <c r="L65" s="7"/>
    </row>
    <row r="66" customFormat="false" ht="15" hidden="false" customHeight="false" outlineLevel="0" collapsed="false">
      <c r="A66" s="7" t="s">
        <v>1371</v>
      </c>
      <c r="B66" s="7"/>
      <c r="C66" s="7"/>
      <c r="D66" s="7"/>
      <c r="E66" s="7"/>
      <c r="F66" s="7"/>
      <c r="G66" s="7"/>
      <c r="H66" s="7"/>
      <c r="I66" s="7"/>
      <c r="J66" s="7" t="s">
        <v>239</v>
      </c>
      <c r="K66" s="7"/>
      <c r="L66" s="7"/>
    </row>
    <row r="67" customFormat="false" ht="15" hidden="false" customHeight="false" outlineLevel="0" collapsed="false">
      <c r="A67" s="7" t="s">
        <v>1371</v>
      </c>
      <c r="B67" s="7"/>
      <c r="C67" s="7"/>
      <c r="D67" s="7"/>
      <c r="E67" s="7"/>
      <c r="F67" s="7"/>
      <c r="G67" s="7"/>
      <c r="H67" s="7"/>
      <c r="I67" s="7"/>
      <c r="J67" s="7" t="s">
        <v>239</v>
      </c>
      <c r="K67" s="7"/>
      <c r="L67" s="7"/>
    </row>
    <row r="68" customFormat="false" ht="15" hidden="false" customHeight="false" outlineLevel="0" collapsed="false">
      <c r="A68" s="7" t="s">
        <v>1371</v>
      </c>
      <c r="B68" s="7"/>
      <c r="C68" s="7"/>
      <c r="D68" s="7"/>
      <c r="E68" s="7"/>
      <c r="F68" s="7"/>
      <c r="G68" s="7"/>
      <c r="H68" s="7"/>
      <c r="I68" s="7"/>
      <c r="J68" s="7" t="s">
        <v>239</v>
      </c>
      <c r="K68" s="7"/>
      <c r="L68" s="7"/>
    </row>
    <row r="69" customFormat="false" ht="15" hidden="false" customHeight="false" outlineLevel="0" collapsed="false">
      <c r="A69" s="7" t="s">
        <v>1371</v>
      </c>
      <c r="B69" s="7"/>
      <c r="C69" s="7"/>
      <c r="D69" s="7"/>
      <c r="E69" s="7"/>
      <c r="F69" s="7"/>
      <c r="G69" s="7"/>
      <c r="H69" s="7"/>
      <c r="I69" s="7"/>
      <c r="J69" s="7" t="s">
        <v>239</v>
      </c>
      <c r="K69" s="7"/>
      <c r="L69" s="7"/>
    </row>
    <row r="70" customFormat="false" ht="15" hidden="false" customHeight="false" outlineLevel="0" collapsed="false">
      <c r="A70" s="7" t="s">
        <v>1371</v>
      </c>
      <c r="B70" s="7"/>
      <c r="C70" s="7"/>
      <c r="D70" s="7"/>
      <c r="E70" s="7"/>
      <c r="F70" s="7"/>
      <c r="G70" s="7"/>
      <c r="H70" s="7"/>
      <c r="I70" s="7"/>
      <c r="J70" s="7" t="s">
        <v>239</v>
      </c>
      <c r="K70" s="7"/>
      <c r="L70" s="7"/>
    </row>
    <row r="71" customFormat="false" ht="15" hidden="false" customHeight="false" outlineLevel="0" collapsed="false">
      <c r="A71" s="7" t="s">
        <v>1371</v>
      </c>
      <c r="B71" s="7"/>
      <c r="C71" s="7"/>
      <c r="D71" s="7"/>
      <c r="E71" s="7"/>
      <c r="F71" s="7"/>
      <c r="G71" s="7"/>
      <c r="H71" s="7"/>
      <c r="I71" s="7"/>
      <c r="J71" s="7" t="s">
        <v>239</v>
      </c>
      <c r="K71" s="7"/>
      <c r="L71" s="7"/>
    </row>
    <row r="72" customFormat="false" ht="15" hidden="false" customHeight="false" outlineLevel="0" collapsed="false">
      <c r="A72" s="7" t="s">
        <v>1371</v>
      </c>
      <c r="B72" s="7"/>
      <c r="C72" s="7"/>
      <c r="D72" s="7"/>
      <c r="E72" s="7"/>
      <c r="F72" s="7"/>
      <c r="G72" s="7"/>
      <c r="H72" s="7"/>
      <c r="I72" s="7"/>
      <c r="J72" s="7" t="s">
        <v>239</v>
      </c>
      <c r="K72" s="7"/>
      <c r="L72" s="7"/>
    </row>
    <row r="73" customFormat="false" ht="15" hidden="false" customHeight="false" outlineLevel="0" collapsed="false">
      <c r="A73" s="7" t="s">
        <v>1371</v>
      </c>
      <c r="B73" s="7"/>
      <c r="C73" s="7"/>
      <c r="D73" s="7"/>
      <c r="E73" s="7"/>
      <c r="F73" s="7"/>
      <c r="G73" s="7"/>
      <c r="H73" s="7"/>
      <c r="I73" s="7"/>
      <c r="J73" s="7" t="s">
        <v>239</v>
      </c>
      <c r="K73" s="7"/>
      <c r="L73" s="7"/>
    </row>
    <row r="74" customFormat="false" ht="15" hidden="false" customHeight="false" outlineLevel="0" collapsed="false">
      <c r="A74" s="7" t="s">
        <v>1371</v>
      </c>
      <c r="B74" s="7"/>
      <c r="C74" s="7"/>
      <c r="D74" s="7"/>
      <c r="E74" s="7"/>
      <c r="F74" s="7"/>
      <c r="G74" s="7"/>
      <c r="H74" s="7"/>
      <c r="I74" s="7"/>
      <c r="J74" s="7" t="s">
        <v>239</v>
      </c>
      <c r="K74" s="7"/>
      <c r="L74" s="7"/>
    </row>
    <row r="75" customFormat="false" ht="15" hidden="false" customHeight="false" outlineLevel="0" collapsed="false">
      <c r="A75" s="7" t="s">
        <v>1371</v>
      </c>
      <c r="B75" s="7"/>
      <c r="C75" s="7"/>
      <c r="D75" s="7"/>
      <c r="E75" s="7"/>
      <c r="F75" s="7"/>
      <c r="G75" s="7"/>
      <c r="H75" s="7"/>
      <c r="I75" s="7"/>
      <c r="J75" s="7" t="s">
        <v>239</v>
      </c>
      <c r="K75" s="7"/>
      <c r="L75" s="7"/>
    </row>
    <row r="76" customFormat="false" ht="15" hidden="false" customHeight="false" outlineLevel="0" collapsed="false">
      <c r="A76" s="7" t="s">
        <v>1371</v>
      </c>
      <c r="B76" s="7"/>
      <c r="C76" s="7"/>
      <c r="D76" s="7"/>
      <c r="E76" s="7"/>
      <c r="F76" s="7"/>
      <c r="G76" s="7"/>
      <c r="H76" s="7"/>
      <c r="I76" s="7"/>
      <c r="J76" s="7" t="s">
        <v>239</v>
      </c>
      <c r="K76" s="7"/>
      <c r="L76" s="7"/>
    </row>
    <row r="77" customFormat="false" ht="15" hidden="false" customHeight="false" outlineLevel="0" collapsed="false">
      <c r="A77" s="7" t="s">
        <v>1371</v>
      </c>
      <c r="B77" s="7"/>
      <c r="C77" s="7"/>
      <c r="D77" s="7"/>
      <c r="E77" s="7"/>
      <c r="F77" s="7"/>
      <c r="G77" s="7"/>
      <c r="H77" s="7"/>
      <c r="I77" s="7"/>
      <c r="J77" s="7" t="s">
        <v>239</v>
      </c>
      <c r="K77" s="7"/>
      <c r="L77" s="7"/>
    </row>
    <row r="78" customFormat="false" ht="15" hidden="false" customHeight="false" outlineLevel="0" collapsed="false">
      <c r="A78" s="7" t="s">
        <v>1371</v>
      </c>
      <c r="B78" s="7"/>
      <c r="C78" s="7"/>
      <c r="D78" s="7"/>
      <c r="E78" s="7"/>
      <c r="F78" s="7"/>
      <c r="G78" s="7"/>
      <c r="H78" s="7"/>
      <c r="I78" s="7"/>
      <c r="J78" s="7" t="s">
        <v>239</v>
      </c>
      <c r="K78" s="7"/>
      <c r="L78" s="7"/>
    </row>
    <row r="79" customFormat="false" ht="15" hidden="false" customHeight="false" outlineLevel="0" collapsed="false">
      <c r="A79" s="7" t="s">
        <v>1371</v>
      </c>
      <c r="B79" s="7"/>
      <c r="C79" s="7"/>
      <c r="D79" s="7"/>
      <c r="E79" s="7"/>
      <c r="F79" s="7"/>
      <c r="G79" s="7"/>
      <c r="H79" s="7"/>
      <c r="I79" s="7"/>
      <c r="J79" s="7" t="s">
        <v>239</v>
      </c>
      <c r="K79" s="7"/>
      <c r="L79" s="7"/>
    </row>
    <row r="80" customFormat="false" ht="15" hidden="false" customHeight="false" outlineLevel="0" collapsed="false">
      <c r="A80" s="7" t="s">
        <v>1371</v>
      </c>
      <c r="B80" s="7"/>
      <c r="C80" s="7"/>
      <c r="D80" s="7"/>
      <c r="E80" s="7"/>
      <c r="F80" s="7"/>
      <c r="G80" s="7"/>
      <c r="H80" s="7"/>
      <c r="I80" s="7"/>
      <c r="J80" s="7" t="s">
        <v>239</v>
      </c>
      <c r="K80" s="7"/>
      <c r="L80" s="7"/>
    </row>
    <row r="81" customFormat="false" ht="15" hidden="false" customHeight="false" outlineLevel="0" collapsed="false">
      <c r="A81" s="7" t="s">
        <v>1371</v>
      </c>
      <c r="B81" s="7"/>
      <c r="C81" s="7"/>
      <c r="D81" s="7"/>
      <c r="E81" s="7"/>
      <c r="F81" s="7"/>
      <c r="G81" s="7"/>
      <c r="H81" s="7"/>
      <c r="I81" s="7"/>
      <c r="J81" s="7" t="s">
        <v>239</v>
      </c>
      <c r="K81" s="7"/>
      <c r="L81" s="7"/>
    </row>
    <row r="82" customFormat="false" ht="15" hidden="false" customHeight="false" outlineLevel="0" collapsed="false">
      <c r="A82" s="7" t="s">
        <v>1371</v>
      </c>
      <c r="B82" s="7"/>
      <c r="C82" s="7"/>
      <c r="D82" s="7"/>
      <c r="E82" s="7"/>
      <c r="F82" s="7"/>
      <c r="G82" s="7"/>
      <c r="H82" s="7"/>
      <c r="I82" s="7"/>
      <c r="J82" s="7" t="s">
        <v>239</v>
      </c>
      <c r="K82" s="7"/>
      <c r="L82" s="7"/>
    </row>
    <row r="83" customFormat="false" ht="15" hidden="false" customHeight="false" outlineLevel="0" collapsed="false">
      <c r="A83" s="7" t="s">
        <v>1371</v>
      </c>
      <c r="B83" s="7"/>
      <c r="C83" s="7"/>
      <c r="D83" s="7"/>
      <c r="E83" s="7"/>
      <c r="F83" s="7"/>
      <c r="G83" s="7"/>
      <c r="H83" s="7"/>
      <c r="I83" s="7"/>
      <c r="J83" s="7" t="s">
        <v>239</v>
      </c>
      <c r="K83" s="7"/>
      <c r="L83" s="7"/>
    </row>
    <row r="84" customFormat="false" ht="15" hidden="false" customHeight="false" outlineLevel="0" collapsed="false">
      <c r="A84" s="7" t="s">
        <v>1371</v>
      </c>
      <c r="B84" s="7"/>
      <c r="C84" s="7"/>
      <c r="D84" s="7"/>
      <c r="E84" s="7"/>
      <c r="F84" s="7"/>
      <c r="G84" s="7"/>
      <c r="H84" s="7"/>
      <c r="I84" s="7"/>
      <c r="J84" s="7" t="s">
        <v>239</v>
      </c>
      <c r="K84" s="7"/>
      <c r="L84" s="7"/>
    </row>
    <row r="85" customFormat="false" ht="15" hidden="false" customHeight="false" outlineLevel="0" collapsed="false">
      <c r="A85" s="7" t="s">
        <v>1371</v>
      </c>
      <c r="B85" s="7"/>
      <c r="C85" s="7"/>
      <c r="D85" s="7"/>
      <c r="E85" s="7"/>
      <c r="F85" s="7"/>
      <c r="G85" s="7"/>
      <c r="H85" s="7"/>
      <c r="I85" s="7"/>
      <c r="J85" s="7" t="s">
        <v>239</v>
      </c>
      <c r="K85" s="7"/>
      <c r="L85" s="7"/>
    </row>
    <row r="86" customFormat="false" ht="15" hidden="false" customHeight="false" outlineLevel="0" collapsed="false">
      <c r="A86" s="7" t="s">
        <v>1371</v>
      </c>
      <c r="B86" s="7"/>
      <c r="C86" s="7"/>
      <c r="D86" s="7"/>
      <c r="E86" s="7"/>
      <c r="F86" s="7"/>
      <c r="G86" s="7"/>
      <c r="H86" s="7"/>
      <c r="I86" s="7"/>
      <c r="J86" s="7" t="s">
        <v>239</v>
      </c>
      <c r="K86" s="7"/>
      <c r="L86" s="7"/>
    </row>
    <row r="87" customFormat="false" ht="15" hidden="false" customHeight="false" outlineLevel="0" collapsed="false">
      <c r="A87" s="7" t="s">
        <v>1371</v>
      </c>
      <c r="B87" s="7"/>
      <c r="C87" s="7"/>
      <c r="D87" s="7"/>
      <c r="E87" s="7"/>
      <c r="F87" s="7"/>
      <c r="G87" s="7"/>
      <c r="H87" s="7"/>
      <c r="I87" s="7"/>
      <c r="J87" s="7" t="s">
        <v>239</v>
      </c>
      <c r="K87" s="7"/>
      <c r="L87" s="7"/>
    </row>
    <row r="88" customFormat="false" ht="15" hidden="false" customHeight="false" outlineLevel="0" collapsed="false">
      <c r="A88" s="7" t="s">
        <v>1371</v>
      </c>
      <c r="B88" s="7"/>
      <c r="C88" s="7"/>
      <c r="D88" s="7"/>
      <c r="E88" s="7"/>
      <c r="F88" s="7"/>
      <c r="G88" s="7"/>
      <c r="H88" s="7"/>
      <c r="I88" s="7"/>
      <c r="J88" s="7" t="s">
        <v>239</v>
      </c>
      <c r="K88" s="7"/>
      <c r="L88" s="7"/>
    </row>
    <row r="89" customFormat="false" ht="15" hidden="false" customHeight="false" outlineLevel="0" collapsed="false">
      <c r="A89" s="7" t="s">
        <v>1371</v>
      </c>
      <c r="B89" s="7"/>
      <c r="C89" s="7"/>
      <c r="D89" s="7"/>
      <c r="E89" s="7"/>
      <c r="F89" s="7"/>
      <c r="G89" s="7"/>
      <c r="H89" s="7"/>
      <c r="I89" s="7"/>
      <c r="J89" s="7" t="s">
        <v>239</v>
      </c>
      <c r="K89" s="7"/>
      <c r="L89" s="7"/>
    </row>
    <row r="90" customFormat="false" ht="15" hidden="false" customHeight="false" outlineLevel="0" collapsed="false">
      <c r="A90" s="7" t="s">
        <v>1371</v>
      </c>
      <c r="B90" s="7"/>
      <c r="C90" s="7"/>
      <c r="D90" s="7"/>
      <c r="E90" s="7"/>
      <c r="F90" s="7"/>
      <c r="G90" s="7"/>
      <c r="H90" s="7"/>
      <c r="I90" s="7"/>
      <c r="J90" s="7" t="s">
        <v>239</v>
      </c>
      <c r="K90" s="7"/>
      <c r="L90" s="7"/>
    </row>
    <row r="91" customFormat="false" ht="15" hidden="false" customHeight="false" outlineLevel="0" collapsed="false">
      <c r="A91" s="7" t="s">
        <v>1371</v>
      </c>
      <c r="B91" s="7"/>
      <c r="C91" s="7"/>
      <c r="D91" s="7"/>
      <c r="E91" s="7"/>
      <c r="F91" s="7"/>
      <c r="G91" s="7"/>
      <c r="H91" s="7"/>
      <c r="I91" s="7"/>
      <c r="J91" s="7" t="s">
        <v>239</v>
      </c>
      <c r="K91" s="7"/>
      <c r="L91" s="7"/>
    </row>
    <row r="92" customFormat="false" ht="15" hidden="false" customHeight="false" outlineLevel="0" collapsed="false">
      <c r="A92" s="7" t="s">
        <v>1371</v>
      </c>
      <c r="B92" s="7"/>
      <c r="C92" s="7"/>
      <c r="D92" s="7"/>
      <c r="E92" s="7"/>
      <c r="F92" s="7"/>
      <c r="G92" s="7"/>
      <c r="H92" s="7"/>
      <c r="I92" s="7"/>
      <c r="J92" s="7" t="s">
        <v>239</v>
      </c>
      <c r="K92" s="7"/>
      <c r="L92" s="7"/>
    </row>
    <row r="93" customFormat="false" ht="15" hidden="false" customHeight="false" outlineLevel="0" collapsed="false">
      <c r="A93" s="7" t="s">
        <v>1371</v>
      </c>
      <c r="B93" s="7"/>
      <c r="C93" s="7"/>
      <c r="D93" s="7"/>
      <c r="E93" s="7"/>
      <c r="F93" s="7"/>
      <c r="G93" s="7"/>
      <c r="H93" s="7"/>
      <c r="I93" s="7"/>
      <c r="J93" s="7" t="s">
        <v>239</v>
      </c>
      <c r="K93" s="7"/>
      <c r="L93" s="7"/>
    </row>
    <row r="94" customFormat="false" ht="15" hidden="false" customHeight="false" outlineLevel="0" collapsed="false">
      <c r="A94" s="7" t="s">
        <v>1371</v>
      </c>
      <c r="B94" s="7"/>
      <c r="C94" s="7"/>
      <c r="D94" s="7"/>
      <c r="E94" s="7"/>
      <c r="F94" s="7"/>
      <c r="G94" s="7"/>
      <c r="H94" s="7"/>
      <c r="I94" s="7"/>
      <c r="J94" s="7" t="s">
        <v>239</v>
      </c>
      <c r="K94" s="7"/>
      <c r="L94" s="7"/>
    </row>
    <row r="95" customFormat="false" ht="15" hidden="false" customHeight="false" outlineLevel="0" collapsed="false">
      <c r="A95" s="7" t="s">
        <v>1371</v>
      </c>
      <c r="B95" s="7"/>
      <c r="C95" s="7"/>
      <c r="D95" s="7"/>
      <c r="E95" s="7"/>
      <c r="F95" s="7"/>
      <c r="G95" s="7"/>
      <c r="H95" s="7"/>
      <c r="I95" s="7"/>
      <c r="J95" s="7" t="s">
        <v>239</v>
      </c>
      <c r="K95" s="7"/>
      <c r="L95" s="7"/>
    </row>
    <row r="96" customFormat="false" ht="15" hidden="false" customHeight="false" outlineLevel="0" collapsed="false">
      <c r="A96" s="7" t="s">
        <v>1371</v>
      </c>
      <c r="B96" s="7"/>
      <c r="C96" s="7"/>
      <c r="D96" s="7"/>
      <c r="E96" s="7"/>
      <c r="F96" s="7"/>
      <c r="G96" s="7"/>
      <c r="H96" s="7"/>
      <c r="I96" s="7"/>
      <c r="J96" s="7" t="s">
        <v>239</v>
      </c>
      <c r="K96" s="7"/>
      <c r="L96" s="7"/>
    </row>
    <row r="97" customFormat="false" ht="15" hidden="false" customHeight="false" outlineLevel="0" collapsed="false">
      <c r="A97" s="7" t="s">
        <v>1371</v>
      </c>
      <c r="B97" s="7"/>
      <c r="C97" s="7"/>
      <c r="D97" s="7"/>
      <c r="E97" s="7"/>
      <c r="F97" s="7"/>
      <c r="G97" s="7"/>
      <c r="H97" s="7"/>
      <c r="I97" s="7"/>
      <c r="J97" s="7" t="s">
        <v>239</v>
      </c>
      <c r="K97" s="7"/>
      <c r="L97" s="7"/>
    </row>
    <row r="98" customFormat="false" ht="15" hidden="false" customHeight="false" outlineLevel="0" collapsed="false">
      <c r="A98" s="7" t="s">
        <v>1371</v>
      </c>
      <c r="B98" s="7"/>
      <c r="C98" s="7"/>
      <c r="D98" s="7"/>
      <c r="E98" s="7"/>
      <c r="F98" s="7"/>
      <c r="G98" s="7"/>
      <c r="H98" s="7"/>
      <c r="I98" s="7"/>
      <c r="J98" s="7" t="s">
        <v>239</v>
      </c>
      <c r="K98" s="7"/>
      <c r="L98" s="7"/>
    </row>
    <row r="99" customFormat="false" ht="15" hidden="false" customHeight="false" outlineLevel="0" collapsed="false">
      <c r="A99" s="7" t="s">
        <v>1371</v>
      </c>
      <c r="B99" s="7"/>
      <c r="C99" s="7"/>
      <c r="D99" s="7"/>
      <c r="E99" s="7"/>
      <c r="F99" s="7"/>
      <c r="G99" s="7"/>
      <c r="H99" s="7"/>
      <c r="I99" s="7"/>
      <c r="J99" s="7" t="s">
        <v>239</v>
      </c>
      <c r="K99" s="7"/>
      <c r="L99" s="7"/>
    </row>
    <row r="100" customFormat="false" ht="15" hidden="false" customHeight="false" outlineLevel="0" collapsed="false">
      <c r="A100" s="7" t="s">
        <v>1371</v>
      </c>
      <c r="B100" s="7"/>
      <c r="C100" s="7"/>
      <c r="D100" s="7"/>
      <c r="E100" s="7"/>
      <c r="F100" s="7"/>
      <c r="G100" s="7"/>
      <c r="H100" s="7"/>
      <c r="I100" s="7"/>
      <c r="J100" s="7" t="s">
        <v>239</v>
      </c>
      <c r="K100" s="7"/>
      <c r="L100" s="7"/>
    </row>
    <row r="101" customFormat="false" ht="15" hidden="false" customHeight="false" outlineLevel="0" collapsed="false">
      <c r="A101" s="7" t="s">
        <v>1371</v>
      </c>
      <c r="B101" s="7"/>
      <c r="C101" s="7"/>
      <c r="D101" s="7"/>
      <c r="E101" s="7"/>
      <c r="F101" s="7"/>
      <c r="G101" s="7"/>
      <c r="H101" s="7"/>
      <c r="I101" s="7"/>
      <c r="J101" s="7" t="s">
        <v>239</v>
      </c>
      <c r="K101" s="7"/>
      <c r="L101" s="7"/>
    </row>
    <row r="102" customFormat="false" ht="15" hidden="false" customHeight="false" outlineLevel="0" collapsed="false">
      <c r="A102" s="7" t="s">
        <v>1371</v>
      </c>
      <c r="B102" s="7"/>
      <c r="C102" s="7"/>
      <c r="D102" s="7"/>
      <c r="E102" s="7"/>
      <c r="F102" s="7"/>
      <c r="G102" s="7"/>
      <c r="H102" s="7"/>
      <c r="I102" s="7"/>
      <c r="J102" s="7" t="s">
        <v>239</v>
      </c>
      <c r="K102" s="7"/>
      <c r="L102" s="7"/>
    </row>
    <row r="103" customFormat="false" ht="15" hidden="false" customHeight="false" outlineLevel="0" collapsed="false">
      <c r="A103" s="7" t="s">
        <v>1371</v>
      </c>
      <c r="B103" s="7"/>
      <c r="C103" s="7"/>
      <c r="D103" s="7"/>
      <c r="E103" s="7"/>
      <c r="F103" s="7"/>
      <c r="G103" s="7"/>
      <c r="H103" s="7"/>
      <c r="I103" s="7"/>
      <c r="J103" s="7" t="s">
        <v>239</v>
      </c>
      <c r="K103" s="7"/>
      <c r="L103" s="7"/>
    </row>
    <row r="104" customFormat="false" ht="15" hidden="false" customHeight="false" outlineLevel="0" collapsed="false">
      <c r="A104" s="7" t="s">
        <v>1371</v>
      </c>
      <c r="B104" s="7"/>
      <c r="C104" s="7"/>
      <c r="D104" s="7"/>
      <c r="E104" s="7"/>
      <c r="F104" s="7"/>
      <c r="G104" s="7"/>
      <c r="H104" s="7"/>
      <c r="I104" s="7"/>
      <c r="J104" s="7" t="s">
        <v>239</v>
      </c>
      <c r="K104" s="7"/>
      <c r="L104" s="7"/>
    </row>
    <row r="105" customFormat="false" ht="15" hidden="false" customHeight="false" outlineLevel="0" collapsed="false">
      <c r="A105" s="7" t="s">
        <v>1371</v>
      </c>
      <c r="B105" s="7"/>
      <c r="C105" s="7"/>
      <c r="D105" s="7"/>
      <c r="E105" s="7"/>
      <c r="F105" s="7"/>
      <c r="G105" s="7"/>
      <c r="H105" s="7"/>
      <c r="I105" s="7"/>
      <c r="J105" s="7" t="s">
        <v>239</v>
      </c>
      <c r="K105" s="7"/>
      <c r="L105" s="7"/>
    </row>
    <row r="106" customFormat="false" ht="15" hidden="false" customHeight="false" outlineLevel="0" collapsed="false">
      <c r="A106" s="7" t="s">
        <v>1371</v>
      </c>
      <c r="B106" s="7"/>
      <c r="C106" s="7"/>
      <c r="D106" s="7"/>
      <c r="E106" s="7"/>
      <c r="F106" s="7"/>
      <c r="G106" s="7"/>
      <c r="H106" s="7"/>
      <c r="I106" s="7"/>
      <c r="J106" s="7" t="s">
        <v>239</v>
      </c>
      <c r="K106" s="7"/>
      <c r="L106" s="7"/>
    </row>
    <row r="107" customFormat="false" ht="15" hidden="false" customHeight="false" outlineLevel="0" collapsed="false">
      <c r="A107" s="7" t="s">
        <v>1371</v>
      </c>
      <c r="B107" s="7"/>
      <c r="C107" s="7"/>
      <c r="D107" s="7"/>
      <c r="E107" s="7"/>
      <c r="F107" s="7"/>
      <c r="G107" s="7"/>
      <c r="H107" s="7"/>
      <c r="I107" s="7"/>
      <c r="J107" s="7" t="s">
        <v>239</v>
      </c>
      <c r="K107" s="7"/>
      <c r="L107" s="7"/>
    </row>
    <row r="108" customFormat="false" ht="15" hidden="false" customHeight="false" outlineLevel="0" collapsed="false">
      <c r="A108" s="7" t="s">
        <v>1371</v>
      </c>
      <c r="B108" s="7"/>
      <c r="C108" s="7"/>
      <c r="D108" s="7"/>
      <c r="E108" s="7"/>
      <c r="F108" s="7"/>
      <c r="G108" s="7"/>
      <c r="H108" s="7"/>
      <c r="I108" s="7"/>
      <c r="J108" s="7" t="s">
        <v>239</v>
      </c>
      <c r="K108" s="7"/>
      <c r="L108" s="7"/>
    </row>
    <row r="109" customFormat="false" ht="15" hidden="false" customHeight="false" outlineLevel="0" collapsed="false">
      <c r="A109" s="7" t="s">
        <v>1371</v>
      </c>
      <c r="B109" s="7"/>
      <c r="C109" s="7"/>
      <c r="D109" s="7"/>
      <c r="E109" s="7"/>
      <c r="F109" s="7"/>
      <c r="G109" s="7"/>
      <c r="H109" s="7"/>
      <c r="I109" s="7"/>
      <c r="J109" s="7" t="s">
        <v>239</v>
      </c>
      <c r="K109" s="7"/>
      <c r="L109" s="7"/>
    </row>
    <row r="110" customFormat="false" ht="15" hidden="false" customHeight="false" outlineLevel="0" collapsed="false">
      <c r="A110" s="7" t="s">
        <v>1371</v>
      </c>
      <c r="B110" s="7"/>
      <c r="C110" s="7"/>
      <c r="D110" s="7"/>
      <c r="E110" s="7"/>
      <c r="F110" s="7"/>
      <c r="G110" s="7"/>
      <c r="H110" s="7"/>
      <c r="I110" s="7"/>
      <c r="J110" s="7" t="s">
        <v>239</v>
      </c>
      <c r="K110" s="7"/>
      <c r="L110" s="7"/>
    </row>
    <row r="111" customFormat="false" ht="15" hidden="false" customHeight="false" outlineLevel="0" collapsed="false">
      <c r="A111" s="7" t="s">
        <v>1371</v>
      </c>
      <c r="B111" s="7"/>
      <c r="C111" s="7"/>
      <c r="D111" s="7"/>
      <c r="E111" s="7"/>
      <c r="F111" s="7"/>
      <c r="G111" s="7"/>
      <c r="H111" s="7"/>
      <c r="I111" s="7"/>
      <c r="J111" s="7" t="s">
        <v>239</v>
      </c>
      <c r="K111" s="7"/>
      <c r="L111" s="7"/>
    </row>
    <row r="112" customFormat="false" ht="15" hidden="false" customHeight="false" outlineLevel="0" collapsed="false">
      <c r="A112" s="7" t="s">
        <v>1371</v>
      </c>
      <c r="B112" s="7"/>
      <c r="C112" s="7"/>
      <c r="D112" s="7"/>
      <c r="E112" s="7"/>
      <c r="F112" s="7"/>
      <c r="G112" s="7"/>
      <c r="H112" s="7"/>
      <c r="I112" s="7"/>
      <c r="J112" s="7" t="s">
        <v>239</v>
      </c>
      <c r="K112" s="7"/>
      <c r="L112" s="7"/>
    </row>
    <row r="113" customFormat="false" ht="15" hidden="false" customHeight="false" outlineLevel="0" collapsed="false">
      <c r="A113" s="7" t="s">
        <v>1371</v>
      </c>
      <c r="B113" s="7"/>
      <c r="C113" s="7"/>
      <c r="D113" s="7"/>
      <c r="E113" s="7"/>
      <c r="F113" s="7"/>
      <c r="G113" s="7"/>
      <c r="H113" s="7"/>
      <c r="I113" s="7"/>
      <c r="J113" s="7" t="s">
        <v>239</v>
      </c>
      <c r="K113" s="7"/>
      <c r="L113" s="7"/>
    </row>
    <row r="114" customFormat="false" ht="15" hidden="false" customHeight="false" outlineLevel="0" collapsed="false">
      <c r="A114" s="7" t="s">
        <v>1371</v>
      </c>
      <c r="B114" s="7"/>
      <c r="C114" s="7"/>
      <c r="D114" s="7"/>
      <c r="E114" s="7"/>
      <c r="F114" s="7"/>
      <c r="G114" s="7"/>
      <c r="H114" s="7"/>
      <c r="I114" s="7"/>
      <c r="J114" s="7" t="s">
        <v>239</v>
      </c>
      <c r="K114" s="7"/>
      <c r="L114" s="7"/>
    </row>
    <row r="115" customFormat="false" ht="15" hidden="false" customHeight="false" outlineLevel="0" collapsed="false">
      <c r="A115" s="7" t="s">
        <v>1371</v>
      </c>
      <c r="B115" s="7"/>
      <c r="C115" s="7"/>
      <c r="D115" s="7"/>
      <c r="E115" s="7"/>
      <c r="F115" s="7"/>
      <c r="G115" s="7"/>
      <c r="H115" s="7"/>
      <c r="I115" s="7"/>
      <c r="J115" s="7" t="s">
        <v>239</v>
      </c>
      <c r="K115" s="7"/>
      <c r="L115" s="7"/>
    </row>
    <row r="116" customFormat="false" ht="15" hidden="false" customHeight="false" outlineLevel="0" collapsed="false">
      <c r="A116" s="7" t="s">
        <v>1371</v>
      </c>
      <c r="B116" s="7"/>
      <c r="C116" s="7"/>
      <c r="D116" s="7"/>
      <c r="E116" s="7"/>
      <c r="F116" s="7"/>
      <c r="G116" s="7"/>
      <c r="H116" s="7"/>
      <c r="I116" s="7"/>
      <c r="J116" s="7" t="s">
        <v>239</v>
      </c>
      <c r="K116" s="7"/>
      <c r="L116" s="7"/>
    </row>
    <row r="117" customFormat="false" ht="15" hidden="false" customHeight="false" outlineLevel="0" collapsed="false">
      <c r="A117" s="7" t="s">
        <v>1371</v>
      </c>
      <c r="B117" s="7"/>
      <c r="C117" s="7"/>
      <c r="D117" s="7"/>
      <c r="E117" s="7"/>
      <c r="F117" s="7"/>
      <c r="G117" s="7"/>
      <c r="H117" s="7"/>
      <c r="I117" s="7"/>
      <c r="J117" s="7" t="s">
        <v>239</v>
      </c>
      <c r="K117" s="7"/>
      <c r="L117" s="7"/>
    </row>
    <row r="118" customFormat="false" ht="15" hidden="false" customHeight="false" outlineLevel="0" collapsed="false">
      <c r="A118" s="7" t="s">
        <v>1371</v>
      </c>
      <c r="B118" s="7"/>
      <c r="C118" s="7"/>
      <c r="D118" s="7"/>
      <c r="E118" s="7"/>
      <c r="F118" s="7"/>
      <c r="G118" s="7"/>
      <c r="H118" s="7"/>
      <c r="I118" s="7"/>
      <c r="J118" s="7" t="s">
        <v>239</v>
      </c>
      <c r="K118" s="7"/>
      <c r="L118" s="7"/>
    </row>
    <row r="119" customFormat="false" ht="15" hidden="false" customHeight="false" outlineLevel="0" collapsed="false">
      <c r="A119" s="7" t="s">
        <v>1371</v>
      </c>
      <c r="B119" s="7"/>
      <c r="C119" s="7"/>
      <c r="D119" s="7"/>
      <c r="E119" s="7"/>
      <c r="F119" s="7"/>
      <c r="G119" s="7"/>
      <c r="H119" s="7"/>
      <c r="I119" s="7"/>
      <c r="J119" s="7" t="s">
        <v>239</v>
      </c>
      <c r="K119" s="7"/>
      <c r="L119" s="7"/>
    </row>
    <row r="120" customFormat="false" ht="15" hidden="false" customHeight="false" outlineLevel="0" collapsed="false">
      <c r="A120" s="7" t="s">
        <v>1371</v>
      </c>
      <c r="B120" s="7"/>
      <c r="C120" s="7"/>
      <c r="D120" s="7"/>
      <c r="E120" s="7"/>
      <c r="F120" s="7"/>
      <c r="G120" s="7"/>
      <c r="H120" s="7"/>
      <c r="I120" s="7"/>
      <c r="J120" s="7" t="s">
        <v>239</v>
      </c>
      <c r="K120" s="7"/>
      <c r="L120" s="7"/>
    </row>
    <row r="121" customFormat="false" ht="15" hidden="false" customHeight="false" outlineLevel="0" collapsed="false">
      <c r="A121" s="7" t="s">
        <v>1371</v>
      </c>
      <c r="B121" s="7"/>
      <c r="C121" s="7"/>
      <c r="D121" s="7"/>
      <c r="E121" s="7"/>
      <c r="F121" s="7"/>
      <c r="G121" s="7"/>
      <c r="H121" s="7"/>
      <c r="I121" s="7"/>
      <c r="J121" s="7" t="s">
        <v>239</v>
      </c>
      <c r="K121" s="7"/>
      <c r="L121" s="7"/>
    </row>
    <row r="122" customFormat="false" ht="15" hidden="false" customHeight="false" outlineLevel="0" collapsed="false">
      <c r="A122" s="7" t="s">
        <v>1371</v>
      </c>
      <c r="B122" s="7"/>
      <c r="C122" s="7"/>
      <c r="D122" s="7"/>
      <c r="E122" s="7"/>
      <c r="F122" s="7"/>
      <c r="G122" s="7"/>
      <c r="H122" s="7"/>
      <c r="I122" s="7"/>
      <c r="J122" s="7" t="s">
        <v>239</v>
      </c>
      <c r="K122" s="7"/>
      <c r="L122" s="7"/>
    </row>
    <row r="123" customFormat="false" ht="15" hidden="false" customHeight="false" outlineLevel="0" collapsed="false">
      <c r="A123" s="7" t="s">
        <v>1371</v>
      </c>
      <c r="B123" s="7"/>
      <c r="C123" s="7"/>
      <c r="D123" s="7"/>
      <c r="E123" s="7"/>
      <c r="F123" s="7"/>
      <c r="G123" s="7"/>
      <c r="H123" s="7"/>
      <c r="I123" s="7"/>
      <c r="J123" s="7" t="s">
        <v>239</v>
      </c>
      <c r="K123" s="7"/>
      <c r="L123" s="7"/>
    </row>
    <row r="124" customFormat="false" ht="15" hidden="false" customHeight="false" outlineLevel="0" collapsed="false">
      <c r="A124" s="7" t="s">
        <v>1371</v>
      </c>
      <c r="B124" s="7"/>
      <c r="C124" s="7"/>
      <c r="D124" s="7"/>
      <c r="E124" s="7"/>
      <c r="F124" s="7"/>
      <c r="G124" s="7"/>
      <c r="H124" s="7"/>
      <c r="I124" s="7"/>
      <c r="J124" s="7" t="s">
        <v>239</v>
      </c>
      <c r="K124" s="7"/>
      <c r="L124" s="7"/>
    </row>
    <row r="125" customFormat="false" ht="15" hidden="false" customHeight="false" outlineLevel="0" collapsed="false">
      <c r="A125" s="7" t="s">
        <v>1371</v>
      </c>
      <c r="B125" s="7"/>
      <c r="C125" s="7"/>
      <c r="D125" s="7"/>
      <c r="E125" s="7"/>
      <c r="F125" s="7"/>
      <c r="G125" s="7"/>
      <c r="H125" s="7"/>
      <c r="I125" s="7"/>
      <c r="J125" s="7" t="s">
        <v>239</v>
      </c>
      <c r="K125" s="7"/>
      <c r="L125" s="7"/>
    </row>
    <row r="126" customFormat="false" ht="15" hidden="false" customHeight="false" outlineLevel="0" collapsed="false">
      <c r="A126" s="7" t="s">
        <v>1371</v>
      </c>
      <c r="B126" s="7"/>
      <c r="C126" s="7"/>
      <c r="D126" s="7"/>
      <c r="E126" s="7"/>
      <c r="F126" s="7"/>
      <c r="G126" s="7"/>
      <c r="H126" s="7"/>
      <c r="I126" s="7"/>
      <c r="J126" s="7" t="s">
        <v>239</v>
      </c>
      <c r="K126" s="7"/>
      <c r="L126" s="7"/>
    </row>
    <row r="127" customFormat="false" ht="15" hidden="false" customHeight="false" outlineLevel="0" collapsed="false">
      <c r="A127" s="7" t="s">
        <v>1371</v>
      </c>
      <c r="B127" s="7"/>
      <c r="C127" s="7"/>
      <c r="D127" s="7"/>
      <c r="E127" s="7"/>
      <c r="F127" s="7"/>
      <c r="G127" s="7"/>
      <c r="H127" s="7"/>
      <c r="I127" s="7"/>
      <c r="J127" s="7" t="s">
        <v>239</v>
      </c>
      <c r="K127" s="7"/>
      <c r="L127" s="7"/>
    </row>
    <row r="128" customFormat="false" ht="15" hidden="false" customHeight="false" outlineLevel="0" collapsed="false">
      <c r="A128" s="7" t="s">
        <v>1371</v>
      </c>
      <c r="B128" s="7"/>
      <c r="C128" s="7"/>
      <c r="D128" s="7"/>
      <c r="E128" s="7"/>
      <c r="F128" s="7"/>
      <c r="G128" s="7"/>
      <c r="H128" s="7"/>
      <c r="I128" s="7"/>
      <c r="J128" s="7" t="s">
        <v>239</v>
      </c>
      <c r="K128" s="7"/>
      <c r="L128" s="7"/>
    </row>
    <row r="129" customFormat="false" ht="15" hidden="false" customHeight="false" outlineLevel="0" collapsed="false">
      <c r="A129" s="7" t="s">
        <v>1371</v>
      </c>
      <c r="B129" s="7"/>
      <c r="C129" s="7"/>
      <c r="D129" s="7"/>
      <c r="E129" s="7"/>
      <c r="F129" s="7"/>
      <c r="G129" s="7"/>
      <c r="H129" s="7"/>
      <c r="I129" s="7"/>
      <c r="J129" s="7" t="s">
        <v>239</v>
      </c>
      <c r="K129" s="7"/>
      <c r="L129" s="7"/>
    </row>
    <row r="130" customFormat="false" ht="15" hidden="false" customHeight="false" outlineLevel="0" collapsed="false">
      <c r="A130" s="7" t="s">
        <v>1371</v>
      </c>
      <c r="B130" s="7"/>
      <c r="C130" s="7"/>
      <c r="D130" s="7"/>
      <c r="E130" s="7"/>
      <c r="F130" s="7"/>
      <c r="G130" s="7"/>
      <c r="H130" s="7"/>
      <c r="I130" s="7"/>
      <c r="J130" s="7" t="s">
        <v>239</v>
      </c>
      <c r="K130" s="7"/>
      <c r="L130" s="7"/>
    </row>
    <row r="131" customFormat="false" ht="15" hidden="false" customHeight="false" outlineLevel="0" collapsed="false">
      <c r="A131" s="7" t="s">
        <v>1371</v>
      </c>
      <c r="B131" s="7"/>
      <c r="C131" s="7"/>
      <c r="D131" s="7"/>
      <c r="E131" s="7"/>
      <c r="F131" s="7"/>
      <c r="G131" s="7"/>
      <c r="H131" s="7"/>
      <c r="I131" s="7"/>
      <c r="J131" s="7" t="s">
        <v>239</v>
      </c>
      <c r="K131" s="7"/>
      <c r="L131" s="7"/>
    </row>
    <row r="132" customFormat="false" ht="15" hidden="false" customHeight="false" outlineLevel="0" collapsed="false">
      <c r="A132" s="7" t="s">
        <v>1371</v>
      </c>
      <c r="B132" s="7"/>
      <c r="C132" s="7"/>
      <c r="D132" s="7"/>
      <c r="E132" s="7"/>
      <c r="F132" s="7"/>
      <c r="G132" s="7"/>
      <c r="H132" s="7"/>
      <c r="I132" s="7"/>
      <c r="J132" s="7" t="s">
        <v>239</v>
      </c>
      <c r="K132" s="7"/>
      <c r="L132" s="7"/>
    </row>
    <row r="133" customFormat="false" ht="15" hidden="false" customHeight="false" outlineLevel="0" collapsed="false">
      <c r="A133" s="7" t="s">
        <v>1371</v>
      </c>
      <c r="B133" s="7"/>
      <c r="C133" s="7"/>
      <c r="D133" s="7"/>
      <c r="E133" s="7"/>
      <c r="F133" s="7"/>
      <c r="G133" s="7"/>
      <c r="H133" s="7"/>
      <c r="I133" s="7"/>
      <c r="J133" s="7" t="s">
        <v>239</v>
      </c>
      <c r="K133" s="7"/>
      <c r="L133" s="7"/>
    </row>
    <row r="134" customFormat="false" ht="15" hidden="false" customHeight="false" outlineLevel="0" collapsed="false">
      <c r="A134" s="7" t="s">
        <v>1371</v>
      </c>
      <c r="B134" s="7"/>
      <c r="C134" s="7"/>
      <c r="D134" s="7"/>
      <c r="E134" s="7"/>
      <c r="F134" s="7"/>
      <c r="G134" s="7"/>
      <c r="H134" s="7"/>
      <c r="I134" s="7"/>
      <c r="J134" s="7" t="s">
        <v>239</v>
      </c>
      <c r="K134" s="7"/>
      <c r="L134" s="7"/>
    </row>
    <row r="135" customFormat="false" ht="15" hidden="false" customHeight="false" outlineLevel="0" collapsed="false">
      <c r="A135" s="7" t="s">
        <v>1371</v>
      </c>
      <c r="B135" s="7"/>
      <c r="C135" s="7"/>
      <c r="D135" s="7"/>
      <c r="E135" s="7"/>
      <c r="F135" s="7"/>
      <c r="G135" s="7"/>
      <c r="H135" s="7"/>
      <c r="I135" s="7"/>
      <c r="J135" s="7" t="s">
        <v>239</v>
      </c>
      <c r="K135" s="7"/>
      <c r="L135" s="7"/>
    </row>
    <row r="136" customFormat="false" ht="15" hidden="false" customHeight="false" outlineLevel="0" collapsed="false">
      <c r="A136" s="7" t="s">
        <v>1371</v>
      </c>
      <c r="B136" s="7"/>
      <c r="C136" s="7"/>
      <c r="D136" s="7"/>
      <c r="E136" s="7"/>
      <c r="F136" s="7"/>
      <c r="G136" s="7"/>
      <c r="H136" s="7"/>
      <c r="I136" s="7"/>
      <c r="J136" s="7" t="s">
        <v>239</v>
      </c>
      <c r="K136" s="7"/>
      <c r="L136" s="7"/>
    </row>
    <row r="137" customFormat="false" ht="15" hidden="false" customHeight="false" outlineLevel="0" collapsed="false">
      <c r="A137" s="7" t="s">
        <v>1371</v>
      </c>
      <c r="B137" s="7"/>
      <c r="C137" s="7"/>
      <c r="D137" s="7"/>
      <c r="E137" s="7"/>
      <c r="F137" s="7"/>
      <c r="G137" s="7"/>
      <c r="H137" s="7"/>
      <c r="I137" s="7"/>
      <c r="J137" s="7" t="s">
        <v>239</v>
      </c>
      <c r="K137" s="7"/>
      <c r="L137" s="7"/>
    </row>
    <row r="138" customFormat="false" ht="15" hidden="false" customHeight="false" outlineLevel="0" collapsed="false">
      <c r="A138" s="7" t="s">
        <v>1371</v>
      </c>
      <c r="B138" s="7"/>
      <c r="C138" s="7"/>
      <c r="D138" s="7"/>
      <c r="E138" s="7"/>
      <c r="F138" s="7"/>
      <c r="G138" s="7"/>
      <c r="H138" s="7"/>
      <c r="I138" s="7"/>
      <c r="J138" s="7" t="s">
        <v>239</v>
      </c>
      <c r="K138" s="7"/>
      <c r="L138" s="7"/>
    </row>
    <row r="139" customFormat="false" ht="15" hidden="false" customHeight="false" outlineLevel="0" collapsed="false">
      <c r="A139" s="7" t="s">
        <v>1371</v>
      </c>
      <c r="B139" s="7"/>
      <c r="C139" s="7"/>
      <c r="D139" s="7"/>
      <c r="E139" s="7"/>
      <c r="F139" s="7"/>
      <c r="G139" s="7"/>
      <c r="H139" s="7"/>
      <c r="I139" s="7"/>
      <c r="J139" s="7" t="s">
        <v>239</v>
      </c>
      <c r="K139" s="7"/>
      <c r="L139" s="7"/>
    </row>
    <row r="140" customFormat="false" ht="15" hidden="false" customHeight="false" outlineLevel="0" collapsed="false">
      <c r="A140" s="7" t="s">
        <v>1371</v>
      </c>
      <c r="B140" s="7"/>
      <c r="C140" s="7"/>
      <c r="D140" s="7"/>
      <c r="E140" s="7"/>
      <c r="F140" s="7"/>
      <c r="G140" s="7"/>
      <c r="H140" s="7"/>
      <c r="I140" s="7"/>
      <c r="J140" s="7" t="s">
        <v>239</v>
      </c>
      <c r="K140" s="7"/>
      <c r="L140" s="7"/>
    </row>
    <row r="141" customFormat="false" ht="15" hidden="false" customHeight="false" outlineLevel="0" collapsed="false">
      <c r="A141" s="7" t="s">
        <v>1371</v>
      </c>
      <c r="B141" s="7"/>
      <c r="C141" s="7"/>
      <c r="D141" s="7"/>
      <c r="E141" s="7"/>
      <c r="F141" s="7"/>
      <c r="G141" s="7"/>
      <c r="H141" s="7"/>
      <c r="I141" s="7"/>
      <c r="J141" s="7" t="s">
        <v>239</v>
      </c>
      <c r="K141" s="7"/>
      <c r="L141" s="7"/>
    </row>
    <row r="142" customFormat="false" ht="15" hidden="false" customHeight="false" outlineLevel="0" collapsed="false">
      <c r="A142" s="7" t="s">
        <v>1371</v>
      </c>
      <c r="B142" s="7"/>
      <c r="C142" s="7"/>
      <c r="D142" s="7"/>
      <c r="E142" s="7"/>
      <c r="F142" s="7"/>
      <c r="G142" s="7"/>
      <c r="H142" s="7"/>
      <c r="I142" s="7"/>
      <c r="J142" s="7" t="s">
        <v>239</v>
      </c>
      <c r="K142" s="7"/>
      <c r="L142" s="7"/>
    </row>
    <row r="143" customFormat="false" ht="15" hidden="false" customHeight="false" outlineLevel="0" collapsed="false">
      <c r="A143" s="7" t="s">
        <v>1371</v>
      </c>
      <c r="B143" s="7"/>
      <c r="C143" s="7"/>
      <c r="D143" s="7"/>
      <c r="E143" s="7"/>
      <c r="F143" s="7"/>
      <c r="G143" s="7"/>
      <c r="H143" s="7"/>
      <c r="I143" s="7"/>
      <c r="J143" s="7" t="s">
        <v>239</v>
      </c>
      <c r="K143" s="7"/>
      <c r="L143" s="7"/>
    </row>
    <row r="144" customFormat="false" ht="15" hidden="false" customHeight="false" outlineLevel="0" collapsed="false">
      <c r="A144" s="7" t="s">
        <v>1371</v>
      </c>
      <c r="B144" s="7"/>
      <c r="C144" s="7"/>
      <c r="D144" s="7"/>
      <c r="E144" s="7"/>
      <c r="F144" s="7"/>
      <c r="G144" s="7"/>
      <c r="H144" s="7"/>
      <c r="I144" s="7"/>
      <c r="J144" s="7" t="s">
        <v>239</v>
      </c>
      <c r="K144" s="7"/>
      <c r="L144" s="7"/>
    </row>
    <row r="145" customFormat="false" ht="15" hidden="false" customHeight="false" outlineLevel="0" collapsed="false">
      <c r="A145" s="7" t="s">
        <v>1371</v>
      </c>
      <c r="B145" s="7"/>
      <c r="C145" s="7"/>
      <c r="D145" s="7"/>
      <c r="E145" s="7"/>
      <c r="F145" s="7"/>
      <c r="G145" s="7"/>
      <c r="H145" s="7"/>
      <c r="I145" s="7"/>
      <c r="J145" s="7" t="s">
        <v>239</v>
      </c>
      <c r="K145" s="7"/>
      <c r="L145" s="7"/>
    </row>
    <row r="146" customFormat="false" ht="15" hidden="false" customHeight="false" outlineLevel="0" collapsed="false">
      <c r="A146" s="7" t="s">
        <v>1371</v>
      </c>
      <c r="B146" s="7"/>
      <c r="C146" s="7"/>
      <c r="D146" s="7"/>
      <c r="E146" s="7"/>
      <c r="F146" s="7"/>
      <c r="G146" s="7"/>
      <c r="H146" s="7"/>
      <c r="I146" s="7"/>
      <c r="J146" s="7" t="s">
        <v>239</v>
      </c>
      <c r="K146" s="7"/>
      <c r="L146" s="7"/>
    </row>
    <row r="147" customFormat="false" ht="15" hidden="false" customHeight="false" outlineLevel="0" collapsed="false">
      <c r="A147" s="7" t="s">
        <v>1371</v>
      </c>
      <c r="B147" s="7"/>
      <c r="C147" s="7"/>
      <c r="D147" s="7"/>
      <c r="E147" s="7"/>
      <c r="F147" s="7"/>
      <c r="G147" s="7"/>
      <c r="H147" s="7"/>
      <c r="I147" s="7"/>
      <c r="J147" s="7" t="s">
        <v>239</v>
      </c>
      <c r="K147" s="7"/>
      <c r="L147" s="7"/>
    </row>
    <row r="148" customFormat="false" ht="15" hidden="false" customHeight="false" outlineLevel="0" collapsed="false">
      <c r="A148" s="7" t="s">
        <v>1371</v>
      </c>
      <c r="B148" s="7"/>
      <c r="C148" s="7"/>
      <c r="D148" s="7"/>
      <c r="E148" s="7"/>
      <c r="F148" s="7"/>
      <c r="G148" s="7"/>
      <c r="H148" s="7"/>
      <c r="I148" s="7"/>
      <c r="J148" s="7" t="s">
        <v>239</v>
      </c>
      <c r="K148" s="7"/>
      <c r="L148" s="7"/>
    </row>
    <row r="149" customFormat="false" ht="15" hidden="false" customHeight="false" outlineLevel="0" collapsed="false">
      <c r="A149" s="7" t="s">
        <v>1371</v>
      </c>
      <c r="B149" s="7"/>
      <c r="C149" s="7"/>
      <c r="D149" s="7"/>
      <c r="E149" s="7"/>
      <c r="F149" s="7"/>
      <c r="G149" s="7"/>
      <c r="H149" s="7"/>
      <c r="I149" s="7"/>
      <c r="J149" s="7" t="s">
        <v>239</v>
      </c>
      <c r="K149" s="7"/>
      <c r="L149" s="7"/>
    </row>
    <row r="150" customFormat="false" ht="15" hidden="false" customHeight="false" outlineLevel="0" collapsed="false">
      <c r="A150" s="7" t="s">
        <v>1371</v>
      </c>
      <c r="B150" s="7"/>
      <c r="C150" s="7"/>
      <c r="D150" s="7"/>
      <c r="E150" s="7"/>
      <c r="F150" s="7"/>
      <c r="G150" s="7"/>
      <c r="H150" s="7"/>
      <c r="I150" s="7"/>
      <c r="J150" s="7" t="s">
        <v>239</v>
      </c>
      <c r="K150" s="7"/>
      <c r="L150" s="7"/>
    </row>
    <row r="151" customFormat="false" ht="15" hidden="false" customHeight="false" outlineLevel="0" collapsed="false">
      <c r="A151" s="7" t="s">
        <v>1371</v>
      </c>
      <c r="B151" s="7"/>
      <c r="C151" s="7"/>
      <c r="D151" s="7"/>
      <c r="E151" s="7"/>
      <c r="F151" s="7"/>
      <c r="G151" s="7"/>
      <c r="H151" s="7"/>
      <c r="I151" s="7"/>
      <c r="J151" s="7" t="s">
        <v>239</v>
      </c>
      <c r="K151" s="7"/>
      <c r="L151" s="7"/>
    </row>
    <row r="152" customFormat="false" ht="15" hidden="false" customHeight="false" outlineLevel="0" collapsed="false">
      <c r="A152" s="7" t="s">
        <v>1371</v>
      </c>
      <c r="B152" s="7"/>
      <c r="C152" s="7"/>
      <c r="D152" s="7"/>
      <c r="E152" s="7"/>
      <c r="F152" s="7"/>
      <c r="G152" s="7"/>
      <c r="H152" s="7"/>
      <c r="I152" s="7"/>
      <c r="J152" s="7" t="s">
        <v>239</v>
      </c>
      <c r="K152" s="7"/>
      <c r="L152" s="7"/>
    </row>
    <row r="153" customFormat="false" ht="15" hidden="false" customHeight="false" outlineLevel="0" collapsed="false">
      <c r="A153" s="7" t="s">
        <v>1371</v>
      </c>
      <c r="B153" s="7"/>
      <c r="C153" s="7"/>
      <c r="D153" s="7"/>
      <c r="E153" s="7"/>
      <c r="F153" s="7"/>
      <c r="G153" s="7"/>
      <c r="H153" s="7"/>
      <c r="I153" s="7"/>
      <c r="J153" s="7" t="s">
        <v>239</v>
      </c>
      <c r="K153" s="7"/>
      <c r="L153" s="7"/>
    </row>
    <row r="154" customFormat="false" ht="15" hidden="false" customHeight="false" outlineLevel="0" collapsed="false">
      <c r="A154" s="7" t="s">
        <v>1371</v>
      </c>
      <c r="B154" s="7"/>
      <c r="C154" s="7"/>
      <c r="D154" s="7"/>
      <c r="E154" s="7"/>
      <c r="F154" s="7"/>
      <c r="G154" s="7"/>
      <c r="H154" s="7"/>
      <c r="I154" s="7"/>
      <c r="J154" s="7" t="s">
        <v>239</v>
      </c>
      <c r="K154" s="7"/>
      <c r="L154" s="7"/>
    </row>
    <row r="155" customFormat="false" ht="15" hidden="false" customHeight="false" outlineLevel="0" collapsed="false">
      <c r="A155" s="7" t="s">
        <v>1371</v>
      </c>
      <c r="B155" s="7"/>
      <c r="C155" s="7"/>
      <c r="D155" s="7"/>
      <c r="E155" s="7"/>
      <c r="F155" s="7"/>
      <c r="G155" s="7"/>
      <c r="H155" s="7"/>
      <c r="I155" s="7"/>
      <c r="J155" s="7" t="s">
        <v>239</v>
      </c>
      <c r="K155" s="7"/>
      <c r="L155" s="7"/>
    </row>
    <row r="156" customFormat="false" ht="15" hidden="false" customHeight="false" outlineLevel="0" collapsed="false">
      <c r="A156" s="7" t="s">
        <v>1371</v>
      </c>
      <c r="B156" s="7"/>
      <c r="C156" s="7"/>
      <c r="D156" s="7"/>
      <c r="E156" s="7"/>
      <c r="F156" s="7"/>
      <c r="G156" s="7"/>
      <c r="H156" s="7"/>
      <c r="I156" s="7"/>
      <c r="J156" s="7" t="s">
        <v>239</v>
      </c>
      <c r="K156" s="7"/>
      <c r="L156" s="7"/>
    </row>
    <row r="157" customFormat="false" ht="15" hidden="false" customHeight="false" outlineLevel="0" collapsed="false">
      <c r="A157" s="7" t="s">
        <v>1371</v>
      </c>
      <c r="B157" s="7"/>
      <c r="C157" s="7"/>
      <c r="D157" s="7"/>
      <c r="E157" s="7"/>
      <c r="F157" s="7"/>
      <c r="G157" s="7"/>
      <c r="H157" s="7"/>
      <c r="I157" s="7"/>
      <c r="J157" s="7" t="s">
        <v>239</v>
      </c>
      <c r="K157" s="7"/>
      <c r="L157" s="7"/>
    </row>
    <row r="158" customFormat="false" ht="15" hidden="false" customHeight="false" outlineLevel="0" collapsed="false">
      <c r="A158" s="7" t="s">
        <v>1371</v>
      </c>
      <c r="B158" s="7"/>
      <c r="C158" s="7"/>
      <c r="D158" s="7"/>
      <c r="E158" s="7"/>
      <c r="F158" s="7"/>
      <c r="G158" s="7"/>
      <c r="H158" s="7"/>
      <c r="I158" s="7"/>
      <c r="J158" s="7" t="s">
        <v>239</v>
      </c>
      <c r="K158" s="7"/>
      <c r="L158" s="7"/>
    </row>
    <row r="159" customFormat="false" ht="15" hidden="false" customHeight="false" outlineLevel="0" collapsed="false">
      <c r="A159" s="7" t="s">
        <v>1371</v>
      </c>
      <c r="B159" s="7"/>
      <c r="C159" s="7"/>
      <c r="D159" s="7"/>
      <c r="E159" s="7"/>
      <c r="F159" s="7"/>
      <c r="G159" s="7"/>
      <c r="H159" s="7"/>
      <c r="I159" s="7"/>
      <c r="J159" s="7" t="s">
        <v>239</v>
      </c>
      <c r="K159" s="7"/>
      <c r="L159" s="7"/>
    </row>
    <row r="160" customFormat="false" ht="15" hidden="false" customHeight="false" outlineLevel="0" collapsed="false">
      <c r="A160" s="7" t="s">
        <v>1371</v>
      </c>
      <c r="B160" s="7"/>
      <c r="C160" s="7"/>
      <c r="D160" s="7"/>
      <c r="E160" s="7"/>
      <c r="F160" s="7"/>
      <c r="G160" s="7"/>
      <c r="H160" s="7"/>
      <c r="I160" s="7"/>
      <c r="J160" s="7" t="s">
        <v>239</v>
      </c>
      <c r="K160" s="7"/>
      <c r="L160" s="7"/>
    </row>
    <row r="161" customFormat="false" ht="15" hidden="false" customHeight="false" outlineLevel="0" collapsed="false">
      <c r="A161" s="7" t="s">
        <v>1371</v>
      </c>
      <c r="B161" s="7"/>
      <c r="C161" s="7"/>
      <c r="D161" s="7"/>
      <c r="E161" s="7"/>
      <c r="F161" s="7"/>
      <c r="G161" s="7"/>
      <c r="H161" s="7"/>
      <c r="I161" s="7"/>
      <c r="J161" s="7" t="s">
        <v>239</v>
      </c>
      <c r="K161" s="7"/>
      <c r="L161" s="7"/>
    </row>
    <row r="162" customFormat="false" ht="15" hidden="false" customHeight="false" outlineLevel="0" collapsed="false">
      <c r="A162" s="7" t="s">
        <v>1371</v>
      </c>
      <c r="B162" s="7"/>
      <c r="C162" s="7"/>
      <c r="D162" s="7"/>
      <c r="E162" s="7"/>
      <c r="F162" s="7"/>
      <c r="G162" s="7"/>
      <c r="H162" s="7"/>
      <c r="I162" s="7"/>
      <c r="J162" s="7" t="s">
        <v>239</v>
      </c>
      <c r="K162" s="7"/>
      <c r="L162" s="7"/>
    </row>
    <row r="163" customFormat="false" ht="15" hidden="false" customHeight="false" outlineLevel="0" collapsed="false">
      <c r="A163" s="7" t="s">
        <v>1371</v>
      </c>
      <c r="B163" s="7"/>
      <c r="C163" s="7"/>
      <c r="D163" s="7"/>
      <c r="E163" s="7"/>
      <c r="F163" s="7"/>
      <c r="G163" s="7"/>
      <c r="H163" s="7"/>
      <c r="I163" s="7"/>
      <c r="J163" s="7" t="s">
        <v>239</v>
      </c>
      <c r="K163" s="7"/>
      <c r="L163" s="7"/>
    </row>
    <row r="164" customFormat="false" ht="15" hidden="false" customHeight="false" outlineLevel="0" collapsed="false">
      <c r="A164" s="7" t="s">
        <v>1371</v>
      </c>
      <c r="B164" s="7"/>
      <c r="C164" s="7"/>
      <c r="D164" s="7"/>
      <c r="E164" s="7"/>
      <c r="F164" s="7"/>
      <c r="G164" s="7"/>
      <c r="H164" s="7"/>
      <c r="I164" s="7"/>
      <c r="J164" s="7" t="s">
        <v>239</v>
      </c>
      <c r="K164" s="7"/>
      <c r="L164" s="7"/>
    </row>
    <row r="165" customFormat="false" ht="15" hidden="false" customHeight="false" outlineLevel="0" collapsed="false">
      <c r="A165" s="7" t="s">
        <v>1371</v>
      </c>
      <c r="B165" s="7"/>
      <c r="C165" s="7"/>
      <c r="D165" s="7"/>
      <c r="E165" s="7"/>
      <c r="F165" s="7"/>
      <c r="G165" s="7"/>
      <c r="H165" s="7"/>
      <c r="I165" s="7"/>
      <c r="J165" s="7" t="s">
        <v>239</v>
      </c>
      <c r="K165" s="7"/>
      <c r="L165" s="7"/>
    </row>
    <row r="166" customFormat="false" ht="15" hidden="false" customHeight="false" outlineLevel="0" collapsed="false">
      <c r="A166" s="7" t="s">
        <v>1371</v>
      </c>
      <c r="B166" s="7"/>
      <c r="C166" s="7"/>
      <c r="D166" s="7"/>
      <c r="E166" s="7"/>
      <c r="F166" s="7"/>
      <c r="G166" s="7"/>
      <c r="H166" s="7"/>
      <c r="I166" s="7"/>
      <c r="J166" s="7" t="s">
        <v>239</v>
      </c>
      <c r="K166" s="7"/>
      <c r="L166" s="7"/>
    </row>
    <row r="167" customFormat="false" ht="15" hidden="false" customHeight="false" outlineLevel="0" collapsed="false">
      <c r="A167" s="7" t="s">
        <v>1371</v>
      </c>
      <c r="B167" s="7"/>
      <c r="C167" s="7"/>
      <c r="D167" s="7"/>
      <c r="E167" s="7"/>
      <c r="F167" s="7"/>
      <c r="G167" s="7"/>
      <c r="H167" s="7"/>
      <c r="I167" s="7"/>
      <c r="J167" s="7" t="s">
        <v>239</v>
      </c>
      <c r="K167" s="7"/>
      <c r="L167" s="7"/>
    </row>
    <row r="168" customFormat="false" ht="15" hidden="false" customHeight="false" outlineLevel="0" collapsed="false">
      <c r="A168" s="7" t="s">
        <v>1371</v>
      </c>
      <c r="B168" s="7"/>
      <c r="C168" s="7"/>
      <c r="D168" s="7"/>
      <c r="E168" s="7"/>
      <c r="F168" s="7"/>
      <c r="G168" s="7"/>
      <c r="H168" s="7"/>
      <c r="I168" s="7"/>
      <c r="J168" s="7" t="s">
        <v>239</v>
      </c>
      <c r="K168" s="7"/>
      <c r="L168" s="7"/>
    </row>
    <row r="169" customFormat="false" ht="15" hidden="false" customHeight="false" outlineLevel="0" collapsed="false">
      <c r="A169" s="7" t="s">
        <v>1371</v>
      </c>
      <c r="B169" s="7"/>
      <c r="C169" s="7"/>
      <c r="D169" s="7"/>
      <c r="E169" s="7"/>
      <c r="F169" s="7"/>
      <c r="G169" s="7"/>
      <c r="H169" s="7"/>
      <c r="I169" s="7"/>
      <c r="J169" s="7" t="s">
        <v>239</v>
      </c>
      <c r="K169" s="7"/>
      <c r="L169" s="7"/>
    </row>
    <row r="170" customFormat="false" ht="15" hidden="false" customHeight="false" outlineLevel="0" collapsed="false">
      <c r="A170" s="7" t="s">
        <v>1371</v>
      </c>
      <c r="B170" s="7"/>
      <c r="C170" s="7"/>
      <c r="D170" s="7"/>
      <c r="E170" s="7"/>
      <c r="F170" s="7"/>
      <c r="G170" s="7"/>
      <c r="H170" s="7"/>
      <c r="I170" s="7"/>
      <c r="J170" s="7" t="s">
        <v>239</v>
      </c>
      <c r="K170" s="7"/>
      <c r="L170" s="7"/>
    </row>
    <row r="171" customFormat="false" ht="15" hidden="false" customHeight="false" outlineLevel="0" collapsed="false">
      <c r="A171" s="7" t="s">
        <v>1371</v>
      </c>
      <c r="B171" s="7"/>
      <c r="C171" s="7"/>
      <c r="D171" s="7"/>
      <c r="E171" s="7"/>
      <c r="F171" s="7"/>
      <c r="G171" s="7"/>
      <c r="H171" s="7"/>
      <c r="I171" s="7"/>
      <c r="J171" s="7" t="s">
        <v>239</v>
      </c>
      <c r="K171" s="7"/>
      <c r="L171" s="7"/>
    </row>
    <row r="172" customFormat="false" ht="15" hidden="false" customHeight="false" outlineLevel="0" collapsed="false">
      <c r="A172" s="7" t="s">
        <v>1371</v>
      </c>
      <c r="B172" s="7"/>
      <c r="C172" s="7"/>
      <c r="D172" s="7"/>
      <c r="E172" s="7"/>
      <c r="F172" s="7"/>
      <c r="G172" s="7"/>
      <c r="H172" s="7"/>
      <c r="I172" s="7"/>
      <c r="J172" s="7" t="s">
        <v>239</v>
      </c>
      <c r="K172" s="7"/>
      <c r="L172" s="7"/>
    </row>
    <row r="173" customFormat="false" ht="15" hidden="false" customHeight="false" outlineLevel="0" collapsed="false">
      <c r="A173" s="7" t="s">
        <v>1371</v>
      </c>
      <c r="B173" s="7"/>
      <c r="C173" s="7"/>
      <c r="D173" s="7"/>
      <c r="E173" s="7"/>
      <c r="F173" s="7"/>
      <c r="G173" s="7"/>
      <c r="H173" s="7"/>
      <c r="I173" s="7"/>
      <c r="J173" s="7" t="s">
        <v>239</v>
      </c>
      <c r="K173" s="7"/>
      <c r="L173" s="7"/>
    </row>
    <row r="174" customFormat="false" ht="15" hidden="false" customHeight="false" outlineLevel="0" collapsed="false">
      <c r="A174" s="7" t="s">
        <v>1371</v>
      </c>
      <c r="B174" s="7"/>
      <c r="C174" s="7"/>
      <c r="D174" s="7"/>
      <c r="E174" s="7"/>
      <c r="F174" s="7"/>
      <c r="G174" s="7"/>
      <c r="H174" s="7"/>
      <c r="I174" s="7"/>
      <c r="J174" s="7" t="s">
        <v>239</v>
      </c>
      <c r="K174" s="7"/>
      <c r="L174" s="7"/>
    </row>
    <row r="175" customFormat="false" ht="15" hidden="false" customHeight="false" outlineLevel="0" collapsed="false">
      <c r="A175" s="7" t="s">
        <v>1371</v>
      </c>
      <c r="B175" s="7"/>
      <c r="C175" s="7"/>
      <c r="D175" s="7"/>
      <c r="E175" s="7"/>
      <c r="F175" s="7"/>
      <c r="G175" s="7"/>
      <c r="H175" s="7"/>
      <c r="I175" s="7"/>
      <c r="J175" s="7" t="s">
        <v>239</v>
      </c>
      <c r="K175" s="7"/>
      <c r="L175" s="7"/>
    </row>
    <row r="176" customFormat="false" ht="15" hidden="false" customHeight="false" outlineLevel="0" collapsed="false">
      <c r="A176" s="7" t="s">
        <v>1371</v>
      </c>
      <c r="B176" s="7"/>
      <c r="C176" s="7"/>
      <c r="D176" s="7"/>
      <c r="E176" s="7"/>
      <c r="F176" s="7"/>
      <c r="G176" s="7"/>
      <c r="H176" s="7"/>
      <c r="I176" s="7"/>
      <c r="J176" s="7" t="s">
        <v>239</v>
      </c>
      <c r="K176" s="7"/>
      <c r="L176" s="7"/>
    </row>
    <row r="177" customFormat="false" ht="15" hidden="false" customHeight="false" outlineLevel="0" collapsed="false">
      <c r="A177" s="7" t="s">
        <v>1371</v>
      </c>
      <c r="B177" s="7"/>
      <c r="C177" s="7"/>
      <c r="D177" s="7"/>
      <c r="E177" s="7"/>
      <c r="F177" s="7"/>
      <c r="G177" s="7"/>
      <c r="H177" s="7"/>
      <c r="I177" s="7"/>
      <c r="J177" s="7" t="s">
        <v>239</v>
      </c>
      <c r="K177" s="7"/>
      <c r="L177" s="7"/>
    </row>
    <row r="178" customFormat="false" ht="15" hidden="false" customHeight="false" outlineLevel="0" collapsed="false">
      <c r="A178" s="7" t="s">
        <v>1371</v>
      </c>
      <c r="B178" s="7"/>
      <c r="C178" s="7"/>
      <c r="D178" s="7"/>
      <c r="E178" s="7"/>
      <c r="F178" s="7"/>
      <c r="G178" s="7"/>
      <c r="H178" s="7"/>
      <c r="I178" s="7"/>
      <c r="J178" s="7" t="s">
        <v>239</v>
      </c>
      <c r="K178" s="7"/>
      <c r="L178" s="7"/>
    </row>
    <row r="179" customFormat="false" ht="15" hidden="false" customHeight="false" outlineLevel="0" collapsed="false">
      <c r="A179" s="7" t="s">
        <v>1371</v>
      </c>
      <c r="B179" s="7"/>
      <c r="C179" s="7"/>
      <c r="D179" s="7"/>
      <c r="E179" s="7"/>
      <c r="F179" s="7"/>
      <c r="G179" s="7"/>
      <c r="H179" s="7"/>
      <c r="I179" s="7"/>
      <c r="J179" s="7" t="s">
        <v>239</v>
      </c>
      <c r="K179" s="7"/>
      <c r="L179" s="7"/>
    </row>
    <row r="180" customFormat="false" ht="15" hidden="false" customHeight="false" outlineLevel="0" collapsed="false">
      <c r="A180" s="7" t="s">
        <v>1371</v>
      </c>
      <c r="B180" s="7"/>
      <c r="C180" s="7"/>
      <c r="D180" s="7"/>
      <c r="E180" s="7"/>
      <c r="F180" s="7"/>
      <c r="G180" s="7"/>
      <c r="H180" s="7"/>
      <c r="I180" s="7"/>
      <c r="J180" s="7" t="s">
        <v>239</v>
      </c>
      <c r="K180" s="7"/>
      <c r="L180" s="7"/>
    </row>
    <row r="181" customFormat="false" ht="15" hidden="false" customHeight="false" outlineLevel="0" collapsed="false">
      <c r="A181" s="7" t="s">
        <v>1371</v>
      </c>
      <c r="B181" s="7"/>
      <c r="C181" s="7"/>
      <c r="D181" s="7"/>
      <c r="E181" s="7"/>
      <c r="F181" s="7"/>
      <c r="G181" s="7"/>
      <c r="H181" s="7"/>
      <c r="I181" s="7"/>
      <c r="J181" s="7" t="s">
        <v>239</v>
      </c>
      <c r="K181" s="7"/>
      <c r="L181" s="7"/>
    </row>
    <row r="182" customFormat="false" ht="15" hidden="false" customHeight="false" outlineLevel="0" collapsed="false">
      <c r="A182" s="7" t="s">
        <v>1371</v>
      </c>
      <c r="B182" s="7"/>
      <c r="C182" s="7"/>
      <c r="D182" s="7"/>
      <c r="E182" s="7"/>
      <c r="F182" s="7"/>
      <c r="G182" s="7"/>
      <c r="H182" s="7"/>
      <c r="I182" s="7"/>
      <c r="J182" s="7" t="s">
        <v>239</v>
      </c>
      <c r="K182" s="7"/>
      <c r="L182" s="7"/>
    </row>
    <row r="183" customFormat="false" ht="15" hidden="false" customHeight="false" outlineLevel="0" collapsed="false">
      <c r="A183" s="7" t="s">
        <v>1371</v>
      </c>
      <c r="B183" s="7"/>
      <c r="C183" s="7"/>
      <c r="D183" s="7"/>
      <c r="E183" s="7"/>
      <c r="F183" s="7"/>
      <c r="G183" s="7"/>
      <c r="H183" s="7"/>
      <c r="I183" s="7"/>
      <c r="J183" s="7" t="s">
        <v>239</v>
      </c>
      <c r="K183" s="7"/>
      <c r="L183" s="7"/>
    </row>
    <row r="184" customFormat="false" ht="15" hidden="false" customHeight="false" outlineLevel="0" collapsed="false">
      <c r="A184" s="7" t="s">
        <v>1371</v>
      </c>
      <c r="B184" s="7"/>
      <c r="C184" s="7"/>
      <c r="D184" s="7"/>
      <c r="E184" s="7"/>
      <c r="F184" s="7"/>
      <c r="G184" s="7"/>
      <c r="H184" s="7"/>
      <c r="I184" s="7"/>
      <c r="J184" s="7" t="s">
        <v>239</v>
      </c>
      <c r="K184" s="7"/>
      <c r="L184" s="7"/>
    </row>
    <row r="185" customFormat="false" ht="15" hidden="false" customHeight="false" outlineLevel="0" collapsed="false">
      <c r="A185" s="7" t="s">
        <v>1371</v>
      </c>
      <c r="B185" s="7"/>
      <c r="C185" s="7"/>
      <c r="D185" s="7"/>
      <c r="E185" s="7"/>
      <c r="F185" s="7"/>
      <c r="G185" s="7"/>
      <c r="H185" s="7"/>
      <c r="I185" s="7"/>
      <c r="J185" s="7" t="s">
        <v>239</v>
      </c>
      <c r="K185" s="7"/>
      <c r="L185" s="7"/>
    </row>
    <row r="186" customFormat="false" ht="15" hidden="false" customHeight="false" outlineLevel="0" collapsed="false">
      <c r="A186" s="7" t="s">
        <v>1371</v>
      </c>
      <c r="B186" s="7"/>
      <c r="C186" s="7"/>
      <c r="D186" s="7"/>
      <c r="E186" s="7"/>
      <c r="F186" s="7"/>
      <c r="G186" s="7"/>
      <c r="H186" s="7"/>
      <c r="I186" s="7"/>
      <c r="J186" s="7" t="s">
        <v>239</v>
      </c>
      <c r="K186" s="7"/>
      <c r="L186" s="7"/>
    </row>
    <row r="187" customFormat="false" ht="15" hidden="false" customHeight="false" outlineLevel="0" collapsed="false">
      <c r="A187" s="7" t="s">
        <v>1371</v>
      </c>
      <c r="B187" s="7"/>
      <c r="C187" s="7"/>
      <c r="D187" s="7"/>
      <c r="E187" s="7"/>
      <c r="F187" s="7"/>
      <c r="G187" s="7"/>
      <c r="H187" s="7"/>
      <c r="I187" s="7"/>
      <c r="J187" s="7" t="s">
        <v>239</v>
      </c>
      <c r="K187" s="7"/>
      <c r="L187" s="7"/>
    </row>
    <row r="188" customFormat="false" ht="15" hidden="false" customHeight="false" outlineLevel="0" collapsed="false">
      <c r="A188" s="7" t="s">
        <v>1371</v>
      </c>
      <c r="B188" s="7"/>
      <c r="C188" s="7"/>
      <c r="D188" s="7"/>
      <c r="E188" s="7"/>
      <c r="F188" s="7"/>
      <c r="G188" s="7"/>
      <c r="H188" s="7"/>
      <c r="I188" s="7"/>
      <c r="J188" s="7" t="s">
        <v>239</v>
      </c>
      <c r="K188" s="7"/>
      <c r="L188" s="7"/>
    </row>
    <row r="189" customFormat="false" ht="15" hidden="false" customHeight="false" outlineLevel="0" collapsed="false">
      <c r="A189" s="7" t="s">
        <v>1371</v>
      </c>
      <c r="B189" s="7"/>
      <c r="C189" s="7"/>
      <c r="D189" s="7"/>
      <c r="E189" s="7"/>
      <c r="F189" s="7"/>
      <c r="G189" s="7"/>
      <c r="H189" s="7"/>
      <c r="I189" s="7"/>
      <c r="J189" s="7" t="s">
        <v>239</v>
      </c>
      <c r="K189" s="7"/>
      <c r="L189" s="7"/>
    </row>
    <row r="190" customFormat="false" ht="15" hidden="false" customHeight="false" outlineLevel="0" collapsed="false">
      <c r="A190" s="7" t="s">
        <v>1371</v>
      </c>
      <c r="B190" s="7"/>
      <c r="C190" s="7"/>
      <c r="D190" s="7"/>
      <c r="E190" s="7"/>
      <c r="F190" s="7"/>
      <c r="G190" s="7"/>
      <c r="H190" s="7"/>
      <c r="I190" s="7"/>
      <c r="J190" s="7" t="s">
        <v>239</v>
      </c>
      <c r="K190" s="7"/>
      <c r="L190" s="7"/>
    </row>
    <row r="191" customFormat="false" ht="15" hidden="false" customHeight="false" outlineLevel="0" collapsed="false">
      <c r="A191" s="7" t="s">
        <v>1371</v>
      </c>
      <c r="B191" s="7"/>
      <c r="C191" s="7"/>
      <c r="D191" s="7"/>
      <c r="E191" s="7"/>
      <c r="F191" s="7"/>
      <c r="G191" s="7"/>
      <c r="H191" s="7"/>
      <c r="I191" s="7"/>
      <c r="J191" s="7" t="s">
        <v>239</v>
      </c>
      <c r="K191" s="7"/>
      <c r="L191" s="7"/>
    </row>
    <row r="192" customFormat="false" ht="15" hidden="false" customHeight="false" outlineLevel="0" collapsed="false">
      <c r="A192" s="7" t="s">
        <v>1371</v>
      </c>
      <c r="B192" s="7"/>
      <c r="C192" s="7"/>
      <c r="D192" s="7"/>
      <c r="E192" s="7"/>
      <c r="F192" s="7"/>
      <c r="G192" s="7"/>
      <c r="H192" s="7"/>
      <c r="I192" s="7"/>
      <c r="J192" s="7" t="s">
        <v>239</v>
      </c>
      <c r="K192" s="7"/>
      <c r="L192" s="7"/>
    </row>
    <row r="193" customFormat="false" ht="15" hidden="false" customHeight="false" outlineLevel="0" collapsed="false">
      <c r="A193" s="7" t="s">
        <v>1371</v>
      </c>
      <c r="B193" s="7"/>
      <c r="C193" s="7"/>
      <c r="D193" s="7"/>
      <c r="E193" s="7"/>
      <c r="F193" s="7"/>
      <c r="G193" s="7"/>
      <c r="H193" s="7"/>
      <c r="I193" s="7"/>
      <c r="J193" s="7" t="s">
        <v>239</v>
      </c>
      <c r="K193" s="7"/>
      <c r="L193" s="7"/>
    </row>
    <row r="194" customFormat="false" ht="15" hidden="false" customHeight="false" outlineLevel="0" collapsed="false">
      <c r="A194" s="7" t="s">
        <v>1371</v>
      </c>
      <c r="B194" s="7"/>
      <c r="C194" s="7"/>
      <c r="D194" s="7"/>
      <c r="E194" s="7"/>
      <c r="F194" s="7"/>
      <c r="G194" s="7"/>
      <c r="H194" s="7"/>
      <c r="I194" s="7"/>
      <c r="J194" s="7" t="s">
        <v>239</v>
      </c>
      <c r="K194" s="7"/>
      <c r="L194" s="7"/>
    </row>
    <row r="195" customFormat="false" ht="15" hidden="false" customHeight="false" outlineLevel="0" collapsed="false">
      <c r="A195" s="7" t="s">
        <v>1371</v>
      </c>
      <c r="B195" s="7"/>
      <c r="C195" s="7"/>
      <c r="D195" s="7"/>
      <c r="E195" s="7"/>
      <c r="F195" s="7"/>
      <c r="G195" s="7"/>
      <c r="H195" s="7"/>
      <c r="I195" s="7"/>
      <c r="J195" s="7" t="s">
        <v>239</v>
      </c>
      <c r="K195" s="7"/>
      <c r="L195" s="7"/>
    </row>
    <row r="196" customFormat="false" ht="15" hidden="false" customHeight="false" outlineLevel="0" collapsed="false">
      <c r="A196" s="7" t="s">
        <v>1371</v>
      </c>
      <c r="B196" s="7"/>
      <c r="C196" s="7"/>
      <c r="D196" s="7"/>
      <c r="E196" s="7"/>
      <c r="F196" s="7"/>
      <c r="G196" s="7"/>
      <c r="H196" s="7"/>
      <c r="I196" s="7"/>
      <c r="J196" s="7" t="s">
        <v>239</v>
      </c>
      <c r="K196" s="7"/>
      <c r="L196" s="7"/>
    </row>
    <row r="197" customFormat="false" ht="15" hidden="false" customHeight="false" outlineLevel="0" collapsed="false">
      <c r="A197" s="7" t="s">
        <v>1371</v>
      </c>
      <c r="B197" s="7"/>
      <c r="C197" s="7"/>
      <c r="D197" s="7"/>
      <c r="E197" s="7"/>
      <c r="F197" s="7"/>
      <c r="G197" s="7"/>
      <c r="H197" s="7"/>
      <c r="I197" s="7"/>
      <c r="J197" s="7" t="s">
        <v>239</v>
      </c>
      <c r="K197" s="7"/>
      <c r="L197" s="7"/>
    </row>
    <row r="198" customFormat="false" ht="15" hidden="false" customHeight="false" outlineLevel="0" collapsed="false">
      <c r="A198" s="7" t="s">
        <v>1371</v>
      </c>
      <c r="B198" s="7"/>
      <c r="C198" s="7"/>
      <c r="D198" s="7"/>
      <c r="E198" s="7"/>
      <c r="F198" s="7"/>
      <c r="G198" s="7"/>
      <c r="H198" s="7"/>
      <c r="I198" s="7"/>
      <c r="J198" s="7" t="s">
        <v>239</v>
      </c>
      <c r="K198" s="7"/>
      <c r="L198" s="7"/>
    </row>
    <row r="199" customFormat="false" ht="15" hidden="false" customHeight="false" outlineLevel="0" collapsed="false">
      <c r="A199" s="7" t="s">
        <v>1371</v>
      </c>
      <c r="B199" s="7"/>
      <c r="C199" s="7"/>
      <c r="D199" s="7"/>
      <c r="E199" s="7"/>
      <c r="F199" s="7"/>
      <c r="G199" s="7"/>
      <c r="H199" s="7"/>
      <c r="I199" s="7"/>
      <c r="J199" s="7" t="s">
        <v>239</v>
      </c>
      <c r="K199" s="7"/>
      <c r="L199" s="7"/>
    </row>
    <row r="200" customFormat="false" ht="15" hidden="false" customHeight="false" outlineLevel="0" collapsed="false">
      <c r="A200" s="7" t="s">
        <v>1371</v>
      </c>
      <c r="B200" s="7"/>
      <c r="C200" s="7"/>
      <c r="D200" s="7"/>
      <c r="E200" s="7"/>
      <c r="F200" s="7"/>
      <c r="G200" s="7"/>
      <c r="H200" s="7"/>
      <c r="I200" s="7"/>
      <c r="J200" s="7" t="s">
        <v>239</v>
      </c>
      <c r="K200" s="7"/>
      <c r="L200" s="7"/>
    </row>
    <row r="201" customFormat="false" ht="15" hidden="false" customHeight="false" outlineLevel="0" collapsed="false">
      <c r="A201" s="7" t="s">
        <v>1371</v>
      </c>
      <c r="B201" s="7"/>
      <c r="C201" s="7"/>
      <c r="D201" s="7"/>
      <c r="E201" s="7"/>
      <c r="F201" s="7"/>
      <c r="G201" s="7"/>
      <c r="H201" s="7"/>
      <c r="I201" s="7"/>
      <c r="J201" s="7" t="s">
        <v>239</v>
      </c>
      <c r="K201" s="7"/>
      <c r="L201" s="7"/>
    </row>
    <row r="202" customFormat="false" ht="15" hidden="false" customHeight="false" outlineLevel="0" collapsed="false">
      <c r="A202" s="7" t="s">
        <v>1371</v>
      </c>
      <c r="B202" s="7"/>
      <c r="C202" s="7"/>
      <c r="D202" s="7"/>
      <c r="E202" s="7"/>
      <c r="F202" s="7"/>
      <c r="G202" s="7"/>
      <c r="H202" s="7"/>
      <c r="I202" s="7"/>
      <c r="J202" s="7" t="s">
        <v>239</v>
      </c>
      <c r="K202" s="7"/>
      <c r="L202" s="7"/>
    </row>
    <row r="203" customFormat="false" ht="15" hidden="false" customHeight="false" outlineLevel="0" collapsed="false">
      <c r="A203" s="7" t="s">
        <v>1371</v>
      </c>
      <c r="B203" s="7"/>
      <c r="C203" s="7"/>
      <c r="D203" s="7"/>
      <c r="E203" s="7"/>
      <c r="F203" s="7"/>
      <c r="G203" s="7"/>
      <c r="H203" s="7"/>
      <c r="I203" s="7"/>
      <c r="J203" s="7" t="s">
        <v>239</v>
      </c>
      <c r="K203" s="7"/>
      <c r="L203" s="7"/>
    </row>
    <row r="204" customFormat="false" ht="15" hidden="false" customHeight="false" outlineLevel="0" collapsed="false">
      <c r="A204" s="7" t="s">
        <v>1371</v>
      </c>
      <c r="B204" s="7"/>
      <c r="C204" s="7"/>
      <c r="D204" s="7"/>
      <c r="E204" s="7"/>
      <c r="F204" s="7"/>
      <c r="G204" s="7"/>
      <c r="H204" s="7"/>
      <c r="I204" s="7"/>
      <c r="J204" s="7" t="s">
        <v>239</v>
      </c>
      <c r="K204" s="7"/>
      <c r="L204" s="7"/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55"/>
    <col collapsed="false" customWidth="true" hidden="false" outlineLevel="0" max="5" min="4" style="0" width="13"/>
    <col collapsed="false" customWidth="true" hidden="false" outlineLevel="0" max="6" min="6" style="0" width="16"/>
  </cols>
  <sheetData>
    <row r="1" customFormat="false" ht="27.75" hidden="false" customHeight="true" outlineLevel="0" collapsed="false">
      <c r="A1" s="1" t="s">
        <v>1372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1373</v>
      </c>
      <c r="B2" s="2"/>
      <c r="C2" s="2"/>
      <c r="D2" s="2"/>
      <c r="E2" s="2"/>
      <c r="F2" s="2"/>
    </row>
    <row r="4" customFormat="false" ht="27.75" hidden="false" customHeight="true" outlineLevel="0" collapsed="false">
      <c r="A4" s="6" t="s">
        <v>47</v>
      </c>
      <c r="B4" s="6" t="s">
        <v>82</v>
      </c>
      <c r="C4" s="6" t="s">
        <v>1374</v>
      </c>
      <c r="D4" s="6" t="s">
        <v>1375</v>
      </c>
      <c r="E4" s="6" t="s">
        <v>1376</v>
      </c>
      <c r="F4" s="6" t="s">
        <v>1377</v>
      </c>
    </row>
    <row r="5" customFormat="false" ht="23.85" hidden="false" customHeight="false" outlineLevel="0" collapsed="false">
      <c r="A5" s="7" t="s">
        <v>1337</v>
      </c>
      <c r="B5" s="7" t="s">
        <v>87</v>
      </c>
      <c r="C5" s="7" t="s">
        <v>88</v>
      </c>
      <c r="D5" s="17" t="n">
        <f aca="false">SUMIFS(Stories!J:J,Stories!G:G,"Sprint 0 — P0 close / Kick-off · Team onboarded, environments ready, CI/C")</f>
        <v>20</v>
      </c>
      <c r="E5" s="17" t="n">
        <v>20</v>
      </c>
      <c r="F5" s="18" t="n">
        <f aca="false">IFERROR(D5/E5,0)</f>
        <v>1</v>
      </c>
    </row>
    <row r="6" customFormat="false" ht="15" hidden="false" customHeight="false" outlineLevel="0" collapsed="false">
      <c r="A6" s="7" t="s">
        <v>1338</v>
      </c>
      <c r="B6" s="7" t="s">
        <v>91</v>
      </c>
      <c r="C6" s="7" t="s">
        <v>92</v>
      </c>
      <c r="D6" s="17" t="n">
        <f aca="false">SUMIFS(Stories!J:J,Stories!G:G,"Sprint 1 — P1 Discover · Discovery M1 — employee records &amp; org st")</f>
        <v>38</v>
      </c>
      <c r="E6" s="17" t="n">
        <v>35</v>
      </c>
      <c r="F6" s="18" t="n">
        <f aca="false">IFERROR(D6/E6,0)</f>
        <v>1.08571428571429</v>
      </c>
    </row>
    <row r="7" customFormat="false" ht="15" hidden="false" customHeight="false" outlineLevel="0" collapsed="false">
      <c r="A7" s="7" t="s">
        <v>1339</v>
      </c>
      <c r="B7" s="7" t="s">
        <v>91</v>
      </c>
      <c r="C7" s="7" t="s">
        <v>94</v>
      </c>
      <c r="D7" s="17" t="n">
        <f aca="false">SUMIFS(Stories!J:J,Stories!G:G,"Sprint 2 — P1 Discover · Discovery M1 — positions &amp; contracts + M")</f>
        <v>43</v>
      </c>
      <c r="E7" s="17" t="n">
        <v>45</v>
      </c>
      <c r="F7" s="18" t="n">
        <f aca="false">IFERROR(D7/E7,0)</f>
        <v>0.955555555555556</v>
      </c>
    </row>
    <row r="8" customFormat="false" ht="15" hidden="false" customHeight="false" outlineLevel="0" collapsed="false">
      <c r="A8" s="7" t="s">
        <v>1340</v>
      </c>
      <c r="B8" s="7" t="s">
        <v>96</v>
      </c>
      <c r="C8" s="7" t="s">
        <v>97</v>
      </c>
      <c r="D8" s="17" t="n">
        <f aca="false">SUMIFS(Stories!J:J,Stories!G:G,"Sprint 3 — P1→P2 Design · Design system complete + all M1 wirefram")</f>
        <v>41</v>
      </c>
      <c r="E8" s="17" t="n">
        <v>50</v>
      </c>
      <c r="F8" s="18" t="n">
        <f aca="false">IFERROR(D8/E8,0)</f>
        <v>0.82</v>
      </c>
    </row>
    <row r="9" customFormat="false" ht="15" hidden="false" customHeight="false" outlineLevel="0" collapsed="false">
      <c r="A9" s="7" t="s">
        <v>1341</v>
      </c>
      <c r="B9" s="7" t="s">
        <v>99</v>
      </c>
      <c r="C9" s="7" t="s">
        <v>100</v>
      </c>
      <c r="D9" s="17" t="n">
        <f aca="false">SUMIFS(Stories!J:J,Stories!G:G,"Sprint 4 — P2 Foundations · Tenancy model + SSO + RBAC scaffold")</f>
        <v>57</v>
      </c>
      <c r="E9" s="17" t="n">
        <v>56</v>
      </c>
      <c r="F9" s="18" t="n">
        <f aca="false">IFERROR(D9/E9,0)</f>
        <v>1.01785714285714</v>
      </c>
    </row>
    <row r="10" customFormat="false" ht="15" hidden="false" customHeight="false" outlineLevel="0" collapsed="false">
      <c r="A10" s="7" t="s">
        <v>1342</v>
      </c>
      <c r="B10" s="7" t="s">
        <v>99</v>
      </c>
      <c r="C10" s="7" t="s">
        <v>102</v>
      </c>
      <c r="D10" s="17" t="n">
        <f aca="false">SUMIFS(Stories!J:J,Stories!G:G,"Sprint 5 — P2 Foundations · Audit log + platform shell + nav")</f>
        <v>43</v>
      </c>
      <c r="E10" s="17" t="n">
        <v>56</v>
      </c>
      <c r="F10" s="18" t="n">
        <f aca="false">IFERROR(D10/E10,0)</f>
        <v>0.767857142857143</v>
      </c>
    </row>
    <row r="11" customFormat="false" ht="15" hidden="false" customHeight="false" outlineLevel="0" collapsed="false">
      <c r="A11" s="7" t="s">
        <v>1343</v>
      </c>
      <c r="B11" s="7" t="s">
        <v>104</v>
      </c>
      <c r="C11" s="7" t="s">
        <v>105</v>
      </c>
      <c r="D11" s="17" t="n">
        <f aca="false">SUMIFS(Stories!J:J,Stories!G:G,"Sprint 6 — P3 Core Build · Employee records CRUD + search + data mo")</f>
        <v>66</v>
      </c>
      <c r="E11" s="17" t="n">
        <v>56</v>
      </c>
      <c r="F11" s="18" t="n">
        <f aca="false">IFERROR(D11/E11,0)</f>
        <v>1.17857142857143</v>
      </c>
    </row>
    <row r="12" customFormat="false" ht="15" hidden="false" customHeight="false" outlineLevel="0" collapsed="false">
      <c r="A12" s="7" t="s">
        <v>1344</v>
      </c>
      <c r="B12" s="7" t="s">
        <v>104</v>
      </c>
      <c r="C12" s="7" t="s">
        <v>107</v>
      </c>
      <c r="D12" s="17" t="n">
        <f aca="false">SUMIFS(Stories!J:J,Stories!G:G,"Sprint 7 — P3 Core Build · Org structure + positions + assignment")</f>
        <v>61</v>
      </c>
      <c r="E12" s="17" t="n">
        <v>56</v>
      </c>
      <c r="F12" s="18" t="n">
        <f aca="false">IFERROR(D12/E12,0)</f>
        <v>1.08928571428571</v>
      </c>
    </row>
    <row r="13" customFormat="false" ht="15" hidden="false" customHeight="false" outlineLevel="0" collapsed="false">
      <c r="A13" s="7" t="s">
        <v>1345</v>
      </c>
      <c r="B13" s="7" t="s">
        <v>104</v>
      </c>
      <c r="C13" s="7" t="s">
        <v>109</v>
      </c>
      <c r="D13" s="17" t="n">
        <f aca="false">SUMIFS(Stories!J:J,Stories!G:G,"Sprint 8 — P3 Core Build · Contracts + documents vault + signed URL")</f>
        <v>63</v>
      </c>
      <c r="E13" s="17" t="n">
        <v>56</v>
      </c>
      <c r="F13" s="18" t="n">
        <f aca="false">IFERROR(D13/E13,0)</f>
        <v>1.125</v>
      </c>
    </row>
    <row r="14" customFormat="false" ht="15" hidden="false" customHeight="false" outlineLevel="0" collapsed="false">
      <c r="A14" s="7" t="s">
        <v>1346</v>
      </c>
      <c r="B14" s="7" t="s">
        <v>104</v>
      </c>
      <c r="C14" s="7" t="s">
        <v>111</v>
      </c>
      <c r="D14" s="17" t="n">
        <f aca="false">SUMIFS(Stories!J:J,Stories!G:G,"Sprint 9 — P3 Core Build · Lifecycle events + approvals engine + no")</f>
        <v>61</v>
      </c>
      <c r="E14" s="17" t="n">
        <v>56</v>
      </c>
      <c r="F14" s="18" t="n">
        <f aca="false">IFERROR(D14/E14,0)</f>
        <v>1.08928571428571</v>
      </c>
    </row>
    <row r="15" customFormat="false" ht="15" hidden="false" customHeight="false" outlineLevel="0" collapsed="false">
      <c r="A15" s="7" t="s">
        <v>1347</v>
      </c>
      <c r="B15" s="7" t="s">
        <v>113</v>
      </c>
      <c r="C15" s="7" t="s">
        <v>114</v>
      </c>
      <c r="D15" s="17" t="n">
        <f aca="false">SUMIFS(Stories!J:J,Stories!G:G,"Sprint 10 — P3→P4 · M1 polish + bulk import/export + M10 sca")</f>
        <v>65</v>
      </c>
      <c r="E15" s="17" t="n">
        <v>56</v>
      </c>
      <c r="F15" s="18" t="n">
        <f aca="false">IFERROR(D15/E15,0)</f>
        <v>1.16071428571429</v>
      </c>
    </row>
    <row r="16" customFormat="false" ht="15" hidden="false" customHeight="false" outlineLevel="0" collapsed="false">
      <c r="A16" s="7" t="s">
        <v>1348</v>
      </c>
      <c r="B16" s="7" t="s">
        <v>116</v>
      </c>
      <c r="C16" s="7" t="s">
        <v>117</v>
      </c>
      <c r="D16" s="17" t="n">
        <f aca="false">SUMIFS(Stories!J:J,Stories!G:G,"Sprint 11 — P4 Adjacent · M10 users, roles, permissions admin")</f>
        <v>45</v>
      </c>
      <c r="E16" s="17" t="n">
        <v>56</v>
      </c>
      <c r="F16" s="18" t="n">
        <f aca="false">IFERROR(D16/E16,0)</f>
        <v>0.803571428571429</v>
      </c>
    </row>
    <row r="17" customFormat="false" ht="15" hidden="false" customHeight="false" outlineLevel="0" collapsed="false">
      <c r="A17" s="7" t="s">
        <v>1349</v>
      </c>
      <c r="B17" s="7" t="s">
        <v>116</v>
      </c>
      <c r="C17" s="7" t="s">
        <v>119</v>
      </c>
      <c r="D17" s="17" t="n">
        <f aca="false">SUMIFS(Stories!J:J,Stories!G:G,"Sprint 12 — P4 Adjacent · M10 tenant config + org chart admin + ho")</f>
        <v>45</v>
      </c>
      <c r="E17" s="17" t="n">
        <v>56</v>
      </c>
      <c r="F17" s="18" t="n">
        <f aca="false">IFERROR(D17/E17,0)</f>
        <v>0.803571428571429</v>
      </c>
    </row>
    <row r="18" customFormat="false" ht="15" hidden="false" customHeight="false" outlineLevel="0" collapsed="false">
      <c r="A18" s="7" t="s">
        <v>1350</v>
      </c>
      <c r="B18" s="7" t="s">
        <v>116</v>
      </c>
      <c r="C18" s="7" t="s">
        <v>121</v>
      </c>
      <c r="D18" s="17" t="n">
        <f aca="false">SUMIFS(Stories!J:J,Stories!G:G,"Sprint 13 — P4 Adjacent · M10 audit dashboard + integrations + web")</f>
        <v>45</v>
      </c>
      <c r="E18" s="17" t="n">
        <v>56</v>
      </c>
      <c r="F18" s="18" t="n">
        <f aca="false">IFERROR(D18/E18,0)</f>
        <v>0.803571428571429</v>
      </c>
    </row>
    <row r="19" customFormat="false" ht="15" hidden="false" customHeight="false" outlineLevel="0" collapsed="false">
      <c r="A19" s="7" t="s">
        <v>1351</v>
      </c>
      <c r="B19" s="7" t="s">
        <v>123</v>
      </c>
      <c r="C19" s="7" t="s">
        <v>124</v>
      </c>
      <c r="D19" s="17" t="n">
        <f aca="false">SUMIFS(Stories!J:J,Stories!G:G,"Sprint 14 — P4→P5 · Feature-freeze — a11y + bundle + perf op")</f>
        <v>47</v>
      </c>
      <c r="E19" s="17" t="n">
        <v>56</v>
      </c>
      <c r="F19" s="18" t="n">
        <f aca="false">IFERROR(D19/E19,0)</f>
        <v>0.839285714285714</v>
      </c>
    </row>
    <row r="20" customFormat="false" ht="15" hidden="false" customHeight="false" outlineLevel="0" collapsed="false">
      <c r="A20" s="7" t="s">
        <v>1352</v>
      </c>
      <c r="B20" s="7" t="s">
        <v>126</v>
      </c>
      <c r="C20" s="7" t="s">
        <v>127</v>
      </c>
      <c r="D20" s="17" t="n">
        <f aca="false">SUMIFS(Stories!J:J,Stories!G:G,"Sprint 15 — P5 Harden · Load test + security scan fixes + DR dri")</f>
        <v>44</v>
      </c>
      <c r="E20" s="17" t="n">
        <v>56</v>
      </c>
      <c r="F20" s="18" t="n">
        <f aca="false">IFERROR(D20/E20,0)</f>
        <v>0.785714285714286</v>
      </c>
    </row>
    <row r="21" customFormat="false" ht="15" hidden="false" customHeight="false" outlineLevel="0" collapsed="false">
      <c r="A21" s="7" t="s">
        <v>1353</v>
      </c>
      <c r="B21" s="7" t="s">
        <v>126</v>
      </c>
      <c r="C21" s="7" t="s">
        <v>129</v>
      </c>
      <c r="D21" s="17" t="n">
        <f aca="false">SUMIFS(Stories!J:J,Stories!G:G,"Sprint 16 — P5 Harden · Pen-test fixes + data migration dry-runs")</f>
        <v>45</v>
      </c>
      <c r="E21" s="17" t="n">
        <v>56</v>
      </c>
      <c r="F21" s="18" t="n">
        <f aca="false">IFERROR(D21/E21,0)</f>
        <v>0.803571428571429</v>
      </c>
    </row>
    <row r="22" customFormat="false" ht="15" hidden="false" customHeight="false" outlineLevel="0" collapsed="false">
      <c r="A22" s="7" t="s">
        <v>1354</v>
      </c>
      <c r="B22" s="7" t="s">
        <v>131</v>
      </c>
      <c r="C22" s="7" t="s">
        <v>132</v>
      </c>
      <c r="D22" s="17" t="n">
        <f aca="false">SUMIFS(Stories!J:J,Stories!G:G,"Sprint 17 — P5→P6 · Holiday-reduced · UAT prep — scenarios, ")</f>
        <v>30</v>
      </c>
      <c r="E22" s="17" t="n">
        <v>35</v>
      </c>
      <c r="F22" s="18" t="n">
        <f aca="false">IFERROR(D22/E22,0)</f>
        <v>0.857142857142857</v>
      </c>
    </row>
    <row r="23" customFormat="false" ht="15" hidden="false" customHeight="false" outlineLevel="0" collapsed="false">
      <c r="A23" s="7" t="s">
        <v>1355</v>
      </c>
      <c r="B23" s="7" t="s">
        <v>135</v>
      </c>
      <c r="C23" s="7" t="s">
        <v>136</v>
      </c>
      <c r="D23" s="17" t="n">
        <f aca="false">SUMIFS(Stories!J:J,Stories!G:G,"Sprint 18 — P6 UAT · UAT round 1 + defect burndown")</f>
        <v>30</v>
      </c>
      <c r="E23" s="17" t="n">
        <v>56</v>
      </c>
      <c r="F23" s="18" t="n">
        <f aca="false">IFERROR(D23/E23,0)</f>
        <v>0.535714285714286</v>
      </c>
    </row>
    <row r="24" customFormat="false" ht="15" hidden="false" customHeight="false" outlineLevel="0" collapsed="false">
      <c r="A24" s="7" t="s">
        <v>1356</v>
      </c>
      <c r="B24" s="7" t="s">
        <v>135</v>
      </c>
      <c r="C24" s="7" t="s">
        <v>138</v>
      </c>
      <c r="D24" s="17" t="n">
        <f aca="false">SUMIFS(Stories!J:J,Stories!G:G,"Sprint 19 — P6 UAT · UAT round 2 + training content")</f>
        <v>30</v>
      </c>
      <c r="E24" s="17" t="n">
        <v>56</v>
      </c>
      <c r="F24" s="18" t="n">
        <f aca="false">IFERROR(D24/E24,0)</f>
        <v>0.535714285714286</v>
      </c>
    </row>
    <row r="25" customFormat="false" ht="15" hidden="false" customHeight="false" outlineLevel="0" collapsed="false">
      <c r="A25" s="7" t="s">
        <v>1357</v>
      </c>
      <c r="B25" s="7" t="s">
        <v>135</v>
      </c>
      <c r="C25" s="7" t="s">
        <v>140</v>
      </c>
      <c r="D25" s="17" t="n">
        <f aca="false">SUMIFS(Stories!J:J,Stories!G:G,"Sprint 20 — P6 UAT · UAT round 3 + cutover rehearsal")</f>
        <v>30</v>
      </c>
      <c r="E25" s="17" t="n">
        <v>56</v>
      </c>
      <c r="F25" s="18" t="n">
        <f aca="false">IFERROR(D25/E25,0)</f>
        <v>0.535714285714286</v>
      </c>
    </row>
    <row r="26" customFormat="false" ht="15" hidden="false" customHeight="false" outlineLevel="0" collapsed="false">
      <c r="A26" s="7" t="s">
        <v>1358</v>
      </c>
      <c r="B26" s="7" t="s">
        <v>142</v>
      </c>
      <c r="C26" s="7" t="s">
        <v>143</v>
      </c>
      <c r="D26" s="17" t="n">
        <f aca="false">SUMIFS(Stories!J:J,Stories!G:G,"Sprint 21 — P7 Cutover · Final fixes + go-live prep + rollback re")</f>
        <v>25</v>
      </c>
      <c r="E26" s="17" t="n">
        <v>56</v>
      </c>
      <c r="F26" s="18" t="n">
        <f aca="false">IFERROR(D26/E26,0)</f>
        <v>0.446428571428571</v>
      </c>
    </row>
    <row r="27" customFormat="false" ht="15" hidden="false" customHeight="false" outlineLevel="0" collapsed="false">
      <c r="A27" s="7" t="s">
        <v>1359</v>
      </c>
      <c r="B27" s="7" t="s">
        <v>145</v>
      </c>
      <c r="C27" s="7" t="s">
        <v>146</v>
      </c>
      <c r="D27" s="17" t="n">
        <f aca="false">SUMIFS(Stories!J:J,Stories!G:G,"Sprint 22 — P7 Go-Live · GO-LIVE 14-Mar-2027 + Day-1 hypercare")</f>
        <v>25</v>
      </c>
      <c r="E27" s="17" t="n">
        <v>56</v>
      </c>
      <c r="F27" s="18" t="n">
        <f aca="false">IFERROR(D27/E27,0)</f>
        <v>0.446428571428571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2026-04-20T19:29:20Z</dcterms:created>
  <dc:creator>openpyxl</dc:creator>
  <dc:description/>
  <dc:language>en-US</dc:language>
  <cp:lastModifiedBy/>
  <dcterms:modified xsi:type="dcterms:W3CDTF">2026-04-20T19:29:21Z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