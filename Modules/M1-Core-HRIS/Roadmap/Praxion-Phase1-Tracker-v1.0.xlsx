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aster WBS" sheetId="2" state="visible" r:id="rId4"/>
    <sheet name="Gates" sheetId="3" state="visible" r:id="rId5"/>
    <sheet name="RACI" sheetId="4" state="visible" r:id="rId6"/>
    <sheet name="Dependencies" sheetId="5" state="visible" r:id="rId7"/>
    <sheet name="KP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<sst xmlns="http://schemas.openxmlformats.org/spreadsheetml/2006/main" count="1240" uniqueCount="491">
  <si>
    <t xml:space="preserve">Praxion HROS — Phase-1 Tracker</t>
  </si>
  <si>
    <t xml:space="preserve">PRX-TRK-P1-001  ·  v1.0</t>
  </si>
  <si>
    <t xml:space="preserve">Kick-off 15 May 2026  ·  Go-live 14 Mar 2027  ·  11 months</t>
  </si>
  <si>
    <t xml:space="preserve">Generated  ·  2026-04-19</t>
  </si>
  <si>
    <t xml:space="preserve">KICK-OFF</t>
  </si>
  <si>
    <t xml:space="preserve">FOUNDATION</t>
  </si>
  <si>
    <t xml:space="preserve">MONEY CUT</t>
  </si>
  <si>
    <t xml:space="preserve">PEOPLE LIVE</t>
  </si>
  <si>
    <t xml:space="preserve">HARDEN END</t>
  </si>
  <si>
    <t xml:space="preserve">GO-LIVE</t>
  </si>
  <si>
    <t xml:space="preserve">15 May 2026</t>
  </si>
  <si>
    <t xml:space="preserve">15 Sep 2026</t>
  </si>
  <si>
    <t xml:space="preserve">15 Nov 2026</t>
  </si>
  <si>
    <t xml:space="preserve">15 Jan 2027</t>
  </si>
  <si>
    <t xml:space="preserve">10 Mar 2027</t>
  </si>
  <si>
    <t xml:space="preserve">14 Mar 2027</t>
  </si>
  <si>
    <t xml:space="preserve">TIER STATUS</t>
  </si>
  <si>
    <t xml:space="preserve">Tier</t>
  </si>
  <si>
    <t xml:space="preserve">Modules</t>
  </si>
  <si>
    <t xml:space="preserve">Owner</t>
  </si>
  <si>
    <t xml:space="preserve">Target gate</t>
  </si>
  <si>
    <t xml:space="preserve">Status</t>
  </si>
  <si>
    <t xml:space="preserve">% complete</t>
  </si>
  <si>
    <t xml:space="preserve">Notes</t>
  </si>
  <si>
    <t xml:space="preserve">M1 · M10</t>
  </si>
  <si>
    <t xml:space="preserve">HRIS Lead + CISO</t>
  </si>
  <si>
    <t xml:space="preserve">P2 · 15 Sep '26</t>
  </si>
  <si>
    <t xml:space="preserve">GREEN</t>
  </si>
  <si>
    <t xml:space="preserve">Mobilisation on track</t>
  </si>
  <si>
    <t xml:space="preserve">PEOPLE</t>
  </si>
  <si>
    <t xml:space="preserve">M2 · M3 · M4 · M5</t>
  </si>
  <si>
    <t xml:space="preserve">Talent &amp; Dev Lead</t>
  </si>
  <si>
    <t xml:space="preserve">P4 · 15 Jan '27</t>
  </si>
  <si>
    <t xml:space="preserve">Kick-off pending</t>
  </si>
  <si>
    <t xml:space="preserve">MONEY</t>
  </si>
  <si>
    <t xml:space="preserve">M6 · M7</t>
  </si>
  <si>
    <t xml:space="preserve">Payroll Lead</t>
  </si>
  <si>
    <t xml:space="preserve">P3 · 15 Nov '26</t>
  </si>
  <si>
    <t xml:space="preserve">AMBER</t>
  </si>
  <si>
    <t xml:space="preserve">SIA/ETA integrations gating</t>
  </si>
  <si>
    <t xml:space="preserve">INTELLIGENCE</t>
  </si>
  <si>
    <t xml:space="preserve">M9</t>
  </si>
  <si>
    <t xml:space="preserve">Product + Data</t>
  </si>
  <si>
    <t xml:space="preserve">P5 · 15 Feb '27</t>
  </si>
  <si>
    <t xml:space="preserve">Dependent on M1/M6 data</t>
  </si>
  <si>
    <t xml:space="preserve">ACCESS</t>
  </si>
  <si>
    <t xml:space="preserve">M11</t>
  </si>
  <si>
    <t xml:space="preserve">Product + UX</t>
  </si>
  <si>
    <t xml:space="preserve">Mobile design kicks off P2</t>
  </si>
  <si>
    <t xml:space="preserve">HEADLINE KPIs</t>
  </si>
  <si>
    <t xml:space="preserve">KPI</t>
  </si>
  <si>
    <t xml:space="preserve">Baseline</t>
  </si>
  <si>
    <t xml:space="preserve">Target</t>
  </si>
  <si>
    <t xml:space="preserve">Current</t>
  </si>
  <si>
    <t xml:space="preserve">Gap</t>
  </si>
  <si>
    <t xml:space="preserve">Payroll accuracy</t>
  </si>
  <si>
    <t xml:space="preserve">97.5%</t>
  </si>
  <si>
    <t xml:space="preserve">99.9%</t>
  </si>
  <si>
    <t xml:space="preserve">—</t>
  </si>
  <si>
    <t xml:space="preserve">Offer → Day-1</t>
  </si>
  <si>
    <t xml:space="preserve">15d</t>
  </si>
  <si>
    <t xml:space="preserve">7d</t>
  </si>
  <si>
    <t xml:space="preserve">Talent Lead</t>
  </si>
  <si>
    <t xml:space="preserve">ESS mobile activation</t>
  </si>
  <si>
    <t xml:space="preserve">0%</t>
  </si>
  <si>
    <t xml:space="preserve">85%</t>
  </si>
  <si>
    <t xml:space="preserve">Product</t>
  </si>
  <si>
    <t xml:space="preserve">Dashboards live</t>
  </si>
  <si>
    <t xml:space="preserve">0</t>
  </si>
  <si>
    <t xml:space="preserve">12</t>
  </si>
  <si>
    <t xml:space="preserve">Product+Data</t>
  </si>
  <si>
    <t xml:space="preserve">Scope completion</t>
  </si>
  <si>
    <t xml:space="preserve">100%</t>
  </si>
  <si>
    <t xml:space="preserve">PD (Sabry)</t>
  </si>
  <si>
    <t xml:space="preserve">Uptime (prod)</t>
  </si>
  <si>
    <t xml:space="preserve">CISO</t>
  </si>
  <si>
    <t xml:space="preserve">Live tracker — update weekly.  Status colours: GREEN = on track · AMBER = watch · RED = off-track.</t>
  </si>
  <si>
    <t xml:space="preserve">PRX-TRK-P1-001  ·  v1.0  ·  Owner: Sabry M.</t>
  </si>
  <si>
    <t xml:space="preserve">Master Work Breakdown Structure</t>
  </si>
  <si>
    <t xml:space="preserve">~120 tasks · Phase-1 · kick-off to go-live</t>
  </si>
  <si>
    <t xml:space="preserve">WBS</t>
  </si>
  <si>
    <t xml:space="preserve">Module</t>
  </si>
  <si>
    <t xml:space="preserve">Workstream</t>
  </si>
  <si>
    <t xml:space="preserve">Task</t>
  </si>
  <si>
    <t xml:space="preserve">Start</t>
  </si>
  <si>
    <t xml:space="preserve">End</t>
  </si>
  <si>
    <t xml:space="preserve">Dur (d)</t>
  </si>
  <si>
    <t xml:space="preserve">Gate</t>
  </si>
  <si>
    <t xml:space="preserve">% comp</t>
  </si>
  <si>
    <t xml:space="preserve">Notes / Dependencies</t>
  </si>
  <si>
    <t xml:space="preserve">P0-001</t>
  </si>
  <si>
    <t xml:space="preserve">P0</t>
  </si>
  <si>
    <t xml:space="preserve">Charter</t>
  </si>
  <si>
    <t xml:space="preserve">Sign off Phase-1 scope + success criteria</t>
  </si>
  <si>
    <t xml:space="preserve">PD</t>
  </si>
  <si>
    <t xml:space="preserve">NOT STARTED</t>
  </si>
  <si>
    <t xml:space="preserve">P0-002</t>
  </si>
  <si>
    <t xml:space="preserve">Publish RACI + decision log</t>
  </si>
  <si>
    <t xml:space="preserve">P0-003</t>
  </si>
  <si>
    <t xml:space="preserve">Squads</t>
  </si>
  <si>
    <t xml:space="preserve">Confirm 6 squad leads + hiring needs</t>
  </si>
  <si>
    <t xml:space="preserve">PD + HRIS Lead</t>
  </si>
  <si>
    <t xml:space="preserve">P0-004</t>
  </si>
  <si>
    <t xml:space="preserve">Issue offers for all net-new roles</t>
  </si>
  <si>
    <t xml:space="preserve">P0-005</t>
  </si>
  <si>
    <t xml:space="preserve">Environments</t>
  </si>
  <si>
    <t xml:space="preserve">Provision DEV/INT/UAT + CI/CD baseline</t>
  </si>
  <si>
    <t xml:space="preserve">HRIS Lead</t>
  </si>
  <si>
    <t xml:space="preserve">P0-006</t>
  </si>
  <si>
    <t xml:space="preserve">Wire Keycloak + SSO integrations</t>
  </si>
  <si>
    <t xml:space="preserve">P0-007</t>
  </si>
  <si>
    <t xml:space="preserve">Tooling</t>
  </si>
  <si>
    <t xml:space="preserve">Jira set-up aligned to WBS</t>
  </si>
  <si>
    <t xml:space="preserve">P0-008</t>
  </si>
  <si>
    <t xml:space="preserve">Confluence / knowledge-base structure</t>
  </si>
  <si>
    <t xml:space="preserve">P0-009</t>
  </si>
  <si>
    <t xml:space="preserve">Vendors</t>
  </si>
  <si>
    <t xml:space="preserve">Pen-test + auditor contracts signed</t>
  </si>
  <si>
    <t xml:space="preserve">CISO + Finance</t>
  </si>
  <si>
    <t xml:space="preserve">P0-010</t>
  </si>
  <si>
    <t xml:space="preserve">Kick-off</t>
  </si>
  <si>
    <t xml:space="preserve">All-hands kick-off + tech-lead design session</t>
  </si>
  <si>
    <t xml:space="preserve">P1-011</t>
  </si>
  <si>
    <t xml:space="preserve">M1</t>
  </si>
  <si>
    <t xml:space="preserve">Data model</t>
  </si>
  <si>
    <t xml:space="preserve">Entity-relationship: employee/org/position/contract</t>
  </si>
  <si>
    <t xml:space="preserve">P1</t>
  </si>
  <si>
    <t xml:space="preserve">Inputs from 30 legal entities</t>
  </si>
  <si>
    <t xml:space="preserve">P1-012</t>
  </si>
  <si>
    <t xml:space="preserve">JML workflow state-machine design</t>
  </si>
  <si>
    <t xml:space="preserve">P1-013</t>
  </si>
  <si>
    <t xml:space="preserve">M10</t>
  </si>
  <si>
    <t xml:space="preserve">Security</t>
  </si>
  <si>
    <t xml:space="preserve">RBAC role catalogue + permission matrix</t>
  </si>
  <si>
    <t xml:space="preserve">P1-014</t>
  </si>
  <si>
    <t xml:space="preserve">DPIA draft — Law 151/2020</t>
  </si>
  <si>
    <t xml:space="preserve">Legal + CISO</t>
  </si>
  <si>
    <t xml:space="preserve">P1-015</t>
  </si>
  <si>
    <t xml:space="preserve">M2</t>
  </si>
  <si>
    <t xml:space="preserve">Functional spec</t>
  </si>
  <si>
    <t xml:space="preserve">ATS requisition → offer flows</t>
  </si>
  <si>
    <t xml:space="preserve">P1-016</t>
  </si>
  <si>
    <t xml:space="preserve">M3</t>
  </si>
  <si>
    <t xml:space="preserve">Onboarding journey patterns</t>
  </si>
  <si>
    <t xml:space="preserve">P1-017</t>
  </si>
  <si>
    <t xml:space="preserve">M4</t>
  </si>
  <si>
    <t xml:space="preserve">Performance cycle + 360 design</t>
  </si>
  <si>
    <t xml:space="preserve">P1-018</t>
  </si>
  <si>
    <t xml:space="preserve">M5</t>
  </si>
  <si>
    <t xml:space="preserve">LMS + SCORM catalogue design</t>
  </si>
  <si>
    <t xml:space="preserve">Talent + Prod</t>
  </si>
  <si>
    <t xml:space="preserve">P1-019</t>
  </si>
  <si>
    <t xml:space="preserve">M6</t>
  </si>
  <si>
    <t xml:space="preserve">Egyptian payroll element taxonomy</t>
  </si>
  <si>
    <t xml:space="preserve">P1-020</t>
  </si>
  <si>
    <t xml:space="preserve">SIA + ETA filing formats</t>
  </si>
  <si>
    <t xml:space="preserve">P1-021</t>
  </si>
  <si>
    <t xml:space="preserve">Bank file formats (CIB, NBE, QNB)</t>
  </si>
  <si>
    <t xml:space="preserve">P1-022</t>
  </si>
  <si>
    <t xml:space="preserve">M7</t>
  </si>
  <si>
    <t xml:space="preserve">Benefits + expenses workflow design</t>
  </si>
  <si>
    <t xml:space="preserve">Payroll + HR Ops</t>
  </si>
  <si>
    <t xml:space="preserve">P1-023</t>
  </si>
  <si>
    <t xml:space="preserve">12 pre-built dashboards backlog</t>
  </si>
  <si>
    <t xml:space="preserve">P1-024</t>
  </si>
  <si>
    <t xml:space="preserve">Mobile ESS flows — payslip, leave, attendance</t>
  </si>
  <si>
    <t xml:space="preserve">P1-025</t>
  </si>
  <si>
    <t xml:space="preserve">Arabic-first IA + UI principles</t>
  </si>
  <si>
    <t xml:space="preserve">UX</t>
  </si>
  <si>
    <t xml:space="preserve">P1-026</t>
  </si>
  <si>
    <t xml:space="preserve">ALL</t>
  </si>
  <si>
    <t xml:space="preserve">NFRs</t>
  </si>
  <si>
    <t xml:space="preserve">Non-functional requirements — perf, scale, SLOs</t>
  </si>
  <si>
    <t xml:space="preserve">P1-027</t>
  </si>
  <si>
    <t xml:space="preserve">Design system v1 (tokens, components, patterns)</t>
  </si>
  <si>
    <t xml:space="preserve">P2-028</t>
  </si>
  <si>
    <t xml:space="preserve">Build</t>
  </si>
  <si>
    <t xml:space="preserve">Core entities + CRUD + audit</t>
  </si>
  <si>
    <t xml:space="preserve">Platform squad</t>
  </si>
  <si>
    <t xml:space="preserve">P2</t>
  </si>
  <si>
    <t xml:space="preserve">P2-029</t>
  </si>
  <si>
    <t xml:space="preserve">JML workflows + position management</t>
  </si>
  <si>
    <t xml:space="preserve">P2-030</t>
  </si>
  <si>
    <t xml:space="preserve">Excel/paper import loader + reconcile report</t>
  </si>
  <si>
    <t xml:space="preserve">P2-031</t>
  </si>
  <si>
    <t xml:space="preserve">HRIS API v1 + API docs</t>
  </si>
  <si>
    <t xml:space="preserve">P2-032</t>
  </si>
  <si>
    <t xml:space="preserve">Identity + RBAC implementation</t>
  </si>
  <si>
    <t xml:space="preserve">P2-033</t>
  </si>
  <si>
    <t xml:space="preserve">SSO (SAML + OIDC) + MFA</t>
  </si>
  <si>
    <t xml:space="preserve">P2-034</t>
  </si>
  <si>
    <t xml:space="preserve">Audit log + observability hooks</t>
  </si>
  <si>
    <t xml:space="preserve">P2-035</t>
  </si>
  <si>
    <t xml:space="preserve">Backup / restore + DR drill</t>
  </si>
  <si>
    <t xml:space="preserve">P2-036</t>
  </si>
  <si>
    <t xml:space="preserve">Data migration</t>
  </si>
  <si>
    <t xml:space="preserve">Legacy extract — Excel + paper + interviews</t>
  </si>
  <si>
    <t xml:space="preserve">Data team</t>
  </si>
  <si>
    <t xml:space="preserve">P2-037</t>
  </si>
  <si>
    <t xml:space="preserve">Canonical schema + pay-element taxonomy</t>
  </si>
  <si>
    <t xml:space="preserve">P2-038</t>
  </si>
  <si>
    <t xml:space="preserve">QA</t>
  </si>
  <si>
    <t xml:space="preserve">Test harness + contract tests</t>
  </si>
  <si>
    <t xml:space="preserve">P2-039</t>
  </si>
  <si>
    <t xml:space="preserve">P2 UAT scripts + gate review</t>
  </si>
  <si>
    <t xml:space="preserve">QA + HR Ops</t>
  </si>
  <si>
    <t xml:space="preserve">P3-040</t>
  </si>
  <si>
    <t xml:space="preserve">Payroll engine — elements, proration, variable pay</t>
  </si>
  <si>
    <t xml:space="preserve">Payroll squad</t>
  </si>
  <si>
    <t xml:space="preserve">P3</t>
  </si>
  <si>
    <t xml:space="preserve">P3-041</t>
  </si>
  <si>
    <t xml:space="preserve">SIA API integration — Form 2 + Form 6</t>
  </si>
  <si>
    <t xml:space="preserve">SIA API beta access</t>
  </si>
  <si>
    <t xml:space="preserve">P3-042</t>
  </si>
  <si>
    <t xml:space="preserve">ETA e-receipts integration</t>
  </si>
  <si>
    <t xml:space="preserve">P3-043</t>
  </si>
  <si>
    <t xml:space="preserve">Bank file generators (CIB, NBE, QNB)</t>
  </si>
  <si>
    <t xml:space="preserve">P3-044</t>
  </si>
  <si>
    <t xml:space="preserve">Payslip generation + distribution</t>
  </si>
  <si>
    <t xml:space="preserve">P3-045</t>
  </si>
  <si>
    <t xml:space="preserve">Parallel run</t>
  </si>
  <si>
    <t xml:space="preserve">Parallel run #1 — 1 entity, 1 cycle</t>
  </si>
  <si>
    <t xml:space="preserve">Payroll Lead + Ext auditor</t>
  </si>
  <si>
    <t xml:space="preserve">P3-046</t>
  </si>
  <si>
    <t xml:space="preserve">Parallel run #2 — 3 entities, 1 cycle</t>
  </si>
  <si>
    <t xml:space="preserve">P3-047</t>
  </si>
  <si>
    <t xml:space="preserve">Parallel run #3 — all entities, reconcile</t>
  </si>
  <si>
    <t xml:space="preserve">P3-048</t>
  </si>
  <si>
    <t xml:space="preserve">Benefits enrolment + plan library</t>
  </si>
  <si>
    <t xml:space="preserve">P3-049</t>
  </si>
  <si>
    <t xml:space="preserve">Expense claims + receipt capture</t>
  </si>
  <si>
    <t xml:space="preserve">P3-050</t>
  </si>
  <si>
    <t xml:space="preserve">Mobile receipt OCR + manager approval</t>
  </si>
  <si>
    <t xml:space="preserve">Payroll + UX</t>
  </si>
  <si>
    <t xml:space="preserve">P3-051</t>
  </si>
  <si>
    <t xml:space="preserve">Statutory filings test cases</t>
  </si>
  <si>
    <t xml:space="preserve">QA + External auditor</t>
  </si>
  <si>
    <t xml:space="preserve">P3-052</t>
  </si>
  <si>
    <t xml:space="preserve">P3 UAT + gate review</t>
  </si>
  <si>
    <t xml:space="preserve">QA + Finance</t>
  </si>
  <si>
    <t xml:space="preserve">P4-053</t>
  </si>
  <si>
    <t xml:space="preserve">Requisition → offer flow + scorecards</t>
  </si>
  <si>
    <t xml:space="preserve">Talent squad</t>
  </si>
  <si>
    <t xml:space="preserve">P4</t>
  </si>
  <si>
    <t xml:space="preserve">P4-054</t>
  </si>
  <si>
    <t xml:space="preserve">Careers page + LinkedIn/Wuzzuf integrations</t>
  </si>
  <si>
    <t xml:space="preserve">P4-055</t>
  </si>
  <si>
    <t xml:space="preserve">E-signature integration (offers/contracts)</t>
  </si>
  <si>
    <t xml:space="preserve">P4-056</t>
  </si>
  <si>
    <t xml:space="preserve">Onboarding journey engine + checklists</t>
  </si>
  <si>
    <t xml:space="preserve">P4-057</t>
  </si>
  <si>
    <t xml:space="preserve">Provisioning triggers + digital document pack</t>
  </si>
  <si>
    <t xml:space="preserve">P4-058</t>
  </si>
  <si>
    <t xml:space="preserve">Goals / OKRs + check-ins</t>
  </si>
  <si>
    <t xml:space="preserve">Growth squad</t>
  </si>
  <si>
    <t xml:space="preserve">P4-059</t>
  </si>
  <si>
    <t xml:space="preserve">Review cycle + calibration + 360</t>
  </si>
  <si>
    <t xml:space="preserve">P4-060</t>
  </si>
  <si>
    <t xml:space="preserve">Course catalogue + enrolments</t>
  </si>
  <si>
    <t xml:space="preserve">P4-061</t>
  </si>
  <si>
    <t xml:space="preserve">SCORM ingest + compliance tracking</t>
  </si>
  <si>
    <t xml:space="preserve">P4-062</t>
  </si>
  <si>
    <t xml:space="preserve">M2-M5</t>
  </si>
  <si>
    <t xml:space="preserve">People-tier UAT scripts + gate review</t>
  </si>
  <si>
    <t xml:space="preserve">P4-063</t>
  </si>
  <si>
    <t xml:space="preserve">Change</t>
  </si>
  <si>
    <t xml:space="preserve">People modules training for HR Ops</t>
  </si>
  <si>
    <t xml:space="preserve">Change lead</t>
  </si>
  <si>
    <t xml:space="preserve">P5-064</t>
  </si>
  <si>
    <t xml:space="preserve">Semantic layer + dashboards v1 (12)</t>
  </si>
  <si>
    <t xml:space="preserve">Insights squad</t>
  </si>
  <si>
    <t xml:space="preserve">P5</t>
  </si>
  <si>
    <t xml:space="preserve">P5-065</t>
  </si>
  <si>
    <t xml:space="preserve">Self-serve report builder</t>
  </si>
  <si>
    <t xml:space="preserve">P5-066</t>
  </si>
  <si>
    <t xml:space="preserve">Workforce-plan scenarios</t>
  </si>
  <si>
    <t xml:space="preserve">P5-067</t>
  </si>
  <si>
    <t xml:space="preserve">Mobile shell + biometric auth (iOS/Android)</t>
  </si>
  <si>
    <t xml:space="preserve">Experience squad</t>
  </si>
  <si>
    <t xml:space="preserve">P5-068</t>
  </si>
  <si>
    <t xml:space="preserve">Payslip / leave / attendance flows</t>
  </si>
  <si>
    <t xml:space="preserve">P5-069</t>
  </si>
  <si>
    <t xml:space="preserve">Manager approvals + team view</t>
  </si>
  <si>
    <t xml:space="preserve">P5-070</t>
  </si>
  <si>
    <t xml:space="preserve">Arabic + field-worker mode</t>
  </si>
  <si>
    <t xml:space="preserve">P5-071</t>
  </si>
  <si>
    <t xml:space="preserve">Data-quality + dashboard UAT</t>
  </si>
  <si>
    <t xml:space="preserve">P5-072</t>
  </si>
  <si>
    <t xml:space="preserve">Mobile UAT on iOS + Android</t>
  </si>
  <si>
    <t xml:space="preserve">P6-073</t>
  </si>
  <si>
    <t xml:space="preserve">UAT</t>
  </si>
  <si>
    <t xml:space="preserve">Full UAT across 10 modules — HR + Finance + Ops</t>
  </si>
  <si>
    <t xml:space="preserve">QA + HR + Fin</t>
  </si>
  <si>
    <t xml:space="preserve">P6</t>
  </si>
  <si>
    <t xml:space="preserve">P6-074</t>
  </si>
  <si>
    <t xml:space="preserve">External pen-test + remediation</t>
  </si>
  <si>
    <t xml:space="preserve">CISO + Vendor</t>
  </si>
  <si>
    <t xml:space="preserve">Report to CISO + board</t>
  </si>
  <si>
    <t xml:space="preserve">P6-075</t>
  </si>
  <si>
    <t xml:space="preserve">DPIA sign-off — Law 151/2020</t>
  </si>
  <si>
    <t xml:space="preserve">P6-076</t>
  </si>
  <si>
    <t xml:space="preserve">Load</t>
  </si>
  <si>
    <t xml:space="preserve">Load test to 2x peak (payroll + ESS)</t>
  </si>
  <si>
    <t xml:space="preserve">P6-077</t>
  </si>
  <si>
    <t xml:space="preserve">Dry run 3 — full rehearsal + rollback drill</t>
  </si>
  <si>
    <t xml:space="preserve">P6-078</t>
  </si>
  <si>
    <t xml:space="preserve">Cutover</t>
  </si>
  <si>
    <t xml:space="preserve">Cutover runbook + rollback plan</t>
  </si>
  <si>
    <t xml:space="preserve">P6-079</t>
  </si>
  <si>
    <t xml:space="preserve">Champions trained (1 per entity)</t>
  </si>
  <si>
    <t xml:space="preserve">P6-080</t>
  </si>
  <si>
    <t xml:space="preserve">End-user comms + FAQ published</t>
  </si>
  <si>
    <t xml:space="preserve">P6-081</t>
  </si>
  <si>
    <t xml:space="preserve">P6 gate — steerco go/no-go</t>
  </si>
  <si>
    <t xml:space="preserve">Steerco</t>
  </si>
  <si>
    <t xml:space="preserve">P7-082</t>
  </si>
  <si>
    <t xml:space="preserve">Go-live cutover weekend</t>
  </si>
  <si>
    <t xml:space="preserve">All squads</t>
  </si>
  <si>
    <t xml:space="preserve">P7</t>
  </si>
  <si>
    <t xml:space="preserve">P7-083</t>
  </si>
  <si>
    <t xml:space="preserve">Hypercare</t>
  </si>
  <si>
    <t xml:space="preserve">Hypercare — 30 days post-launch</t>
  </si>
  <si>
    <t xml:space="preserve">P7-084</t>
  </si>
  <si>
    <t xml:space="preserve">Warranty</t>
  </si>
  <si>
    <t xml:space="preserve">Warranty — 30–60 days post-launch</t>
  </si>
  <si>
    <t xml:space="preserve">P7-085</t>
  </si>
  <si>
    <t xml:space="preserve">Review</t>
  </si>
  <si>
    <t xml:space="preserve">Post-launch review + lessons learned</t>
  </si>
  <si>
    <t xml:space="preserve">P7-086</t>
  </si>
  <si>
    <t xml:space="preserve">Phase-2 planning kick-off</t>
  </si>
  <si>
    <t xml:space="preserve">PD + Sponsor</t>
  </si>
  <si>
    <t xml:space="preserve">TOTALS</t>
  </si>
  <si>
    <t xml:space="preserve">Tasks:</t>
  </si>
  <si>
    <t xml:space="preserve">Avg duration (d):</t>
  </si>
  <si>
    <t xml:space="preserve">Total scheduled (d):</t>
  </si>
  <si>
    <t xml:space="preserve">% complete (overall):</t>
  </si>
  <si>
    <t xml:space="preserve">Phase-1 Gates — P0 to P7</t>
  </si>
  <si>
    <t xml:space="preserve">Gate criteria  ·  target dates  ·  status  ·  owner</t>
  </si>
  <si>
    <t xml:space="preserve">Name</t>
  </si>
  <si>
    <t xml:space="preserve">Window</t>
  </si>
  <si>
    <t xml:space="preserve">Duration</t>
  </si>
  <si>
    <t xml:space="preserve">Criteria</t>
  </si>
  <si>
    <t xml:space="preserve">MOBILISE</t>
  </si>
  <si>
    <t xml:space="preserve">Apr – May '26</t>
  </si>
  <si>
    <t xml:space="preserve">4w</t>
  </si>
  <si>
    <t xml:space="preserve">Charter signed · RACI published · squads staffed · environments live</t>
  </si>
  <si>
    <t xml:space="preserve">IN PROGRESS</t>
  </si>
  <si>
    <t xml:space="preserve">DESIGN</t>
  </si>
  <si>
    <t xml:space="preserve">May – Jul '26</t>
  </si>
  <si>
    <t xml:space="preserve">8w</t>
  </si>
  <si>
    <t xml:space="preserve">15 Jul 2026</t>
  </si>
  <si>
    <t xml:space="preserve">Functional specs · data model · UX · NFRs complete for all modules</t>
  </si>
  <si>
    <t xml:space="preserve">Jul – Sep '26</t>
  </si>
  <si>
    <t xml:space="preserve">M1 Core HRIS + M10 System Admin + SSO live in UAT; 1st entity migrated</t>
  </si>
  <si>
    <t xml:space="preserve">Sep – Nov '26</t>
  </si>
  <si>
    <t xml:space="preserve">M6 parallel run x3 reconciled · M7 benefits/expenses UAT · SIA/ETA/bank integrations</t>
  </si>
  <si>
    <t xml:space="preserve">Nov '26 – Jan '27</t>
  </si>
  <si>
    <t xml:space="preserve">M2 ATS · M3 Onboarding · M4 Performance · M5 LMS live in UAT</t>
  </si>
  <si>
    <t xml:space="preserve">ACCESS + INTEL</t>
  </si>
  <si>
    <t xml:space="preserve">Jan – Feb '27</t>
  </si>
  <si>
    <t xml:space="preserve">15 Feb 2027</t>
  </si>
  <si>
    <t xml:space="preserve">M11 Mobile ESS + M9 Analytics live in UAT · 12 dashboards · Arabic</t>
  </si>
  <si>
    <t xml:space="preserve">HARDEN</t>
  </si>
  <si>
    <t xml:space="preserve">Feb – Mar '27</t>
  </si>
  <si>
    <t xml:space="preserve">3.5w</t>
  </si>
  <si>
    <t xml:space="preserve">UAT · pen-test · DPIA · load test · dry-run 3 · cutover runbook signed</t>
  </si>
  <si>
    <t xml:space="preserve">D-Day</t>
  </si>
  <si>
    <t xml:space="preserve">Cutover complete · hypercare 30d · warranty 30–60d · post-launch review</t>
  </si>
  <si>
    <t xml:space="preserve">RACI — Who owns what</t>
  </si>
  <si>
    <t xml:space="preserve">Responsible · Accountable · Consulted · Informed</t>
  </si>
  <si>
    <t xml:space="preserve">Activity</t>
  </si>
  <si>
    <t xml:space="preserve">Board</t>
  </si>
  <si>
    <t xml:space="preserve">Sponsor/CEO</t>
  </si>
  <si>
    <t xml:space="preserve">Ext</t>
  </si>
  <si>
    <t xml:space="preserve">Charter &amp; scope</t>
  </si>
  <si>
    <t xml:space="preserve">A</t>
  </si>
  <si>
    <t xml:space="preserve">R</t>
  </si>
  <si>
    <t xml:space="preserve">C</t>
  </si>
  <si>
    <t xml:space="preserve">I</t>
  </si>
  <si>
    <t xml:space="preserve">Payroll cut-over</t>
  </si>
  <si>
    <t xml:space="preserve">Statutory filings</t>
  </si>
  <si>
    <t xml:space="preserve">DPIA + security</t>
  </si>
  <si>
    <t xml:space="preserve">SSO / identity</t>
  </si>
  <si>
    <t xml:space="preserve">Module UAT</t>
  </si>
  <si>
    <t xml:space="preserve">Training &amp; change</t>
  </si>
  <si>
    <t xml:space="preserve">Budget &amp; burn</t>
  </si>
  <si>
    <t xml:space="preserve">Steerco reporting</t>
  </si>
  <si>
    <t xml:space="preserve">Vendor contracts</t>
  </si>
  <si>
    <t xml:space="preserve">Architecture decisions</t>
  </si>
  <si>
    <t xml:space="preserve">LEGEND</t>
  </si>
  <si>
    <t xml:space="preserve">Responsible — does the work</t>
  </si>
  <si>
    <t xml:space="preserve">Accountable — one per activity</t>
  </si>
  <si>
    <t xml:space="preserve">Consulted — two-way input</t>
  </si>
  <si>
    <t xml:space="preserve">Informed — one-way notification</t>
  </si>
  <si>
    <t xml:space="preserve">External Dependencies &amp; Blockers</t>
  </si>
  <si>
    <t xml:space="preserve">SIA · ETA · banks · pen-test · DPIA · vendor contracts</t>
  </si>
  <si>
    <t xml:space="preserve">System / dependency</t>
  </si>
  <si>
    <t xml:space="preserve">Needed by</t>
  </si>
  <si>
    <t xml:space="preserve">Notes / risk</t>
  </si>
  <si>
    <t xml:space="preserve">Severity</t>
  </si>
  <si>
    <t xml:space="preserve">Mitigation</t>
  </si>
  <si>
    <t xml:space="preserve">SIA API access</t>
  </si>
  <si>
    <t xml:space="preserve">Payroll Lead + Legal</t>
  </si>
  <si>
    <t xml:space="preserve">OPEN</t>
  </si>
  <si>
    <t xml:space="preserve">SIA API beta — availability uncertain; fallback is manual upload</t>
  </si>
  <si>
    <t xml:space="preserve">HIGH</t>
  </si>
  <si>
    <t xml:space="preserve">Fallback upload + vendor escalation</t>
  </si>
  <si>
    <t xml:space="preserve">ETA e-receipts schema</t>
  </si>
  <si>
    <t xml:space="preserve">Finance</t>
  </si>
  <si>
    <t xml:space="preserve">Schema can shift; need formal liaison with tax authority</t>
  </si>
  <si>
    <t xml:space="preserve">Pin schema v1 · monitor changes</t>
  </si>
  <si>
    <t xml:space="preserve">Banking file formats</t>
  </si>
  <si>
    <t xml:space="preserve">CIB + NBE + QNB each have own format · test files per bank</t>
  </si>
  <si>
    <t xml:space="preserve">Test files · bank champion per partner</t>
  </si>
  <si>
    <t xml:space="preserve">PDP DPIA clearance</t>
  </si>
  <si>
    <t xml:space="preserve">Law 151/2020 — DPIA must clear before go-live</t>
  </si>
  <si>
    <t xml:space="preserve">Legal kick-off in P1; external counsel on retainer</t>
  </si>
  <si>
    <t xml:space="preserve">Pen-test vendor</t>
  </si>
  <si>
    <t xml:space="preserve">External security assessment; slot contract by Q4 2026</t>
  </si>
  <si>
    <t xml:space="preserve">MEDIUM</t>
  </si>
  <si>
    <t xml:space="preserve">Contract signed in P0; 2-wave test</t>
  </si>
  <si>
    <t xml:space="preserve">SSO IdP (Azure AD)</t>
  </si>
  <si>
    <t xml:space="preserve">CIO</t>
  </si>
  <si>
    <t xml:space="preserve">Tenant + groups config must be ready before P2</t>
  </si>
  <si>
    <t xml:space="preserve">CIO liaison weekly from P1</t>
  </si>
  <si>
    <t xml:space="preserve">Job boards</t>
  </si>
  <si>
    <t xml:space="preserve">LinkedIn + Wuzzuf API keys + agreements</t>
  </si>
  <si>
    <t xml:space="preserve">LOW</t>
  </si>
  <si>
    <t xml:space="preserve">Commercial agreement + sandbox</t>
  </si>
  <si>
    <t xml:space="preserve">E-signature vendor</t>
  </si>
  <si>
    <t xml:space="preserve">DocuSign or equivalent; must support Arabic</t>
  </si>
  <si>
    <t xml:space="preserve">Procure in P1</t>
  </si>
  <si>
    <t xml:space="preserve">SCORM content</t>
  </si>
  <si>
    <t xml:space="preserve">External content library + license</t>
  </si>
  <si>
    <t xml:space="preserve">Select vendor in P2</t>
  </si>
  <si>
    <t xml:space="preserve">SMS / push gateway</t>
  </si>
  <si>
    <t xml:space="preserve">Notification channels; two providers for redundancy</t>
  </si>
  <si>
    <t xml:space="preserve">Procure in P3</t>
  </si>
  <si>
    <t xml:space="preserve">External auditor</t>
  </si>
  <si>
    <t xml:space="preserve">For parallel-run reconciliation + go-live sign-off</t>
  </si>
  <si>
    <t xml:space="preserve">Contracted in P0</t>
  </si>
  <si>
    <t xml:space="preserve">Legal — labour law</t>
  </si>
  <si>
    <t xml:space="preserve">Legal</t>
  </si>
  <si>
    <t xml:space="preserve">Egyptian labour-law review of contract + policy templates</t>
  </si>
  <si>
    <t xml:space="preserve">External counsel on retainer</t>
  </si>
  <si>
    <t xml:space="preserve">Success KPIs — Phase-1</t>
  </si>
  <si>
    <t xml:space="preserve">Monthly targets · baseline · actuals · owner · tier</t>
  </si>
  <si>
    <t xml:space="preserve">Gap to target</t>
  </si>
  <si>
    <t xml:space="preserve">Trend</t>
  </si>
  <si>
    <t xml:space="preserve">Payroll cycle time</t>
  </si>
  <si>
    <t xml:space="preserve">6d</t>
  </si>
  <si>
    <t xml:space="preserve">1d</t>
  </si>
  <si>
    <t xml:space="preserve">Statutory filings — late</t>
  </si>
  <si>
    <t xml:space="preserve">1 / mo</t>
  </si>
  <si>
    <t xml:space="preserve">Training — core role</t>
  </si>
  <si>
    <t xml:space="preserve">72%</t>
  </si>
  <si>
    <t xml:space="preserve">95%</t>
  </si>
  <si>
    <t xml:space="preserve">Manager self-serve</t>
  </si>
  <si>
    <t xml:space="preserve">40%</t>
  </si>
  <si>
    <t xml:space="preserve">75%</t>
  </si>
  <si>
    <t xml:space="preserve">Arabic usage (mobile)</t>
  </si>
  <si>
    <t xml:space="preserve">Uptime — production</t>
  </si>
  <si>
    <t xml:space="preserve">Pre-built dashboards live</t>
  </si>
  <si>
    <t xml:space="preserve">Defect escape — P1 / mo</t>
  </si>
  <si>
    <t xml:space="preserve">&lt; 2</t>
  </si>
  <si>
    <t xml:space="preserve">MONTHLY TARGETS (by KPI)</t>
  </si>
  <si>
    <t xml:space="preserve">Jun '26</t>
  </si>
  <si>
    <t xml:space="preserve">Aug '26</t>
  </si>
  <si>
    <t xml:space="preserve">Oct '26</t>
  </si>
  <si>
    <t xml:space="preserve">Dec '26</t>
  </si>
  <si>
    <t xml:space="preserve">Feb '27</t>
  </si>
  <si>
    <t xml:space="preserve">Apr '27</t>
  </si>
  <si>
    <t xml:space="preserve">8%</t>
  </si>
  <si>
    <t xml:space="preserve">25%</t>
  </si>
  <si>
    <t xml:space="preserve">45%</t>
  </si>
  <si>
    <t xml:space="preserve">65%</t>
  </si>
  <si>
    <t xml:space="preserve">90%</t>
  </si>
  <si>
    <t xml:space="preserve">Modules in UAT</t>
  </si>
  <si>
    <t xml:space="preserve">2</t>
  </si>
  <si>
    <t xml:space="preserve">4</t>
  </si>
  <si>
    <t xml:space="preserve">8</t>
  </si>
  <si>
    <t xml:space="preserve">10</t>
  </si>
  <si>
    <t xml:space="preserve">Payroll accuracy (run)</t>
  </si>
  <si>
    <t xml:space="preserve">99.5%</t>
  </si>
  <si>
    <t xml:space="preserve">99.8%</t>
  </si>
  <si>
    <t xml:space="preserve">ESS activation</t>
  </si>
  <si>
    <t xml:space="preserve">15%</t>
  </si>
  <si>
    <t xml:space="preserve">6</t>
  </si>
  <si>
    <t xml:space="preserve">Data cleansed (records)</t>
  </si>
  <si>
    <t xml:space="preserve">70%</t>
  </si>
  <si>
    <t xml:space="preserve">98%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</si>
</sst>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dd\-mmm\-yy"/>
    <numFmt numFmtId="167" formatCode="0"/>
    <numFmt numFmtId="168" formatCode="0.0"/>
    <numFmt numFmtId="169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B1437"/>
      <name val="Calibri"/>
      <family val="0"/>
      <charset val="1"/>
    </font>
    <font>
      <sz val="10"/>
      <color rgb="FF64748B"/>
      <name val="Calibri"/>
      <family val="0"/>
      <charset val="1"/>
    </font>
    <font>
      <i val="true"/>
      <sz val="11"/>
      <color rgb="FF64748B"/>
      <name val="Calibri"/>
      <family val="0"/>
      <charset val="1"/>
    </font>
    <font>
      <sz val="9"/>
      <color rgb="FF64748B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2"/>
      <color rgb="FF0B1437"/>
      <name val="Calibri"/>
      <family val="0"/>
      <charset val="1"/>
    </font>
    <font>
      <b val="true"/>
      <sz val="11"/>
      <color rgb="FF2F6B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11827"/>
      <name val="Calibri"/>
      <family val="0"/>
      <charset val="1"/>
    </font>
    <font>
      <b val="true"/>
      <sz val="11"/>
      <color rgb="FF111827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64748B"/>
      <name val="Calibri"/>
      <family val="0"/>
      <charset val="1"/>
    </font>
    <font>
      <b val="true"/>
      <sz val="9"/>
      <color rgb="FF334155"/>
      <name val="Calibri"/>
      <family val="0"/>
      <charset val="1"/>
    </font>
    <font>
      <b val="true"/>
      <sz val="11"/>
      <color rgb="FF0B1437"/>
      <name val="Calibri"/>
      <family val="0"/>
      <charset val="1"/>
    </font>
    <font>
      <b val="true"/>
      <sz val="12"/>
      <color rgb="FF2F6BFF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F6BFF"/>
        <bgColor rgb="FF0066CC"/>
      </patternFill>
    </fill>
    <fill>
      <patternFill patternType="solid">
        <fgColor rgb="FF0B1437"/>
        <bgColor rgb="FF111827"/>
      </patternFill>
    </fill>
    <fill>
      <patternFill patternType="solid">
        <fgColor rgb="FF19D3C5"/>
        <bgColor rgb="FF00CCFF"/>
      </patternFill>
    </fill>
    <fill>
      <patternFill patternType="solid">
        <fgColor rgb="FF5B8BFF"/>
        <bgColor rgb="FF2F6BFF"/>
      </patternFill>
    </fill>
    <fill>
      <patternFill patternType="solid">
        <fgColor rgb="FF7C3AED"/>
        <bgColor rgb="FF993366"/>
      </patternFill>
    </fill>
    <fill>
      <patternFill patternType="solid">
        <fgColor rgb="FF22C55E"/>
        <bgColor rgb="FF19D3C5"/>
      </patternFill>
    </fill>
    <fill>
      <patternFill patternType="solid">
        <fgColor rgb="FFF8FAFC"/>
        <bgColor rgb="FFFFFFFF"/>
      </patternFill>
    </fill>
    <fill>
      <patternFill patternType="solid">
        <fgColor rgb="FFF59E0B"/>
        <bgColor rgb="FFFFCC00"/>
      </patternFill>
    </fill>
    <fill>
      <patternFill patternType="solid">
        <fgColor rgb="FF1F2E66"/>
        <bgColor rgb="FF334155"/>
      </patternFill>
    </fill>
    <fill>
      <patternFill patternType="solid">
        <fgColor rgb="FFE6EAF2"/>
        <bgColor rgb="FFF8FAFC"/>
      </patternFill>
    </fill>
    <fill>
      <patternFill patternType="solid">
        <fgColor rgb="FFEF4444"/>
        <bgColor rgb="FF993366"/>
      </patternFill>
    </fill>
    <fill>
      <patternFill patternType="solid">
        <fgColor rgb="FF64748B"/>
        <bgColor rgb="FF808080"/>
      </patternFill>
    </fill>
    <fill>
      <patternFill patternType="solid">
        <fgColor rgb="FFFFFFFF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6EAF2"/>
      </left>
      <right style="thin">
        <color rgb="FFE6EAF2"/>
      </right>
      <top style="thin">
        <color rgb="FFE6EAF2"/>
      </top>
      <bottom style="thin">
        <color rgb="FFE6EA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22C55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B1437"/>
      <rgbColor rgb="FF808000"/>
      <rgbColor rgb="FF800080"/>
      <rgbColor rgb="FF008080"/>
      <rgbColor rgb="FFC0C0C0"/>
      <rgbColor rgb="FF808080"/>
      <rgbColor rgb="FF5B8BFF"/>
      <rgbColor rgb="FF7C3AED"/>
      <rgbColor rgb="FFF8FAFC"/>
      <rgbColor rgb="FFE6EA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6BFF"/>
      <rgbColor rgb="FF19D3C5"/>
      <rgbColor rgb="FF99CC00"/>
      <rgbColor rgb="FFFFCC00"/>
      <rgbColor rgb="FFF59E0B"/>
      <rgbColor rgb="FFEF4444"/>
      <rgbColor rgb="FF64748B"/>
      <rgbColor rgb="FF969696"/>
      <rgbColor rgb="FF1F2E66"/>
      <rgbColor rgb="FF22C55E"/>
      <rgbColor rgb="FF111827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22"/>
  </cols>
  <sheetData>
    <row r="1" customFormat="false" ht="24.45" hidden="false" customHeight="false" outlineLevel="0" collapsed="false">
      <c r="A1" s="1" t="s">
        <v>0</v>
      </c>
      <c r="G1" s="2" t="s">
        <v>1</v>
      </c>
    </row>
    <row r="2" customFormat="false" ht="15" hidden="false" customHeight="false" outlineLevel="0" collapsed="false">
      <c r="A2" s="3" t="s">
        <v>2</v>
      </c>
      <c r="G2" s="4" t="s">
        <v>3</v>
      </c>
    </row>
    <row r="4" customFormat="false" ht="21.75" hidden="false" customHeight="true" outlineLevel="0" collapsed="false">
      <c r="A4" s="5" t="s">
        <v>4</v>
      </c>
      <c r="B4" s="6" t="s">
        <v>5</v>
      </c>
      <c r="C4" s="7" t="s">
        <v>6</v>
      </c>
      <c r="D4" s="8" t="s">
        <v>7</v>
      </c>
      <c r="E4" s="9" t="s">
        <v>8</v>
      </c>
      <c r="F4" s="10" t="s">
        <v>9</v>
      </c>
    </row>
    <row r="5" customFormat="false" ht="25.5" hidden="false" customHeight="true" outlineLevel="0" collapsed="false">
      <c r="A5" s="11" t="s">
        <v>10</v>
      </c>
      <c r="B5" s="11" t="s">
        <v>11</v>
      </c>
      <c r="C5" s="11" t="s">
        <v>12</v>
      </c>
      <c r="D5" s="11" t="s">
        <v>13</v>
      </c>
      <c r="E5" s="11" t="s">
        <v>14</v>
      </c>
      <c r="F5" s="11" t="s">
        <v>15</v>
      </c>
    </row>
    <row r="7" customFormat="false" ht="15" hidden="false" customHeight="false" outlineLevel="0" collapsed="false">
      <c r="A7" s="12" t="s">
        <v>16</v>
      </c>
    </row>
    <row r="8" customFormat="false" ht="15" hidden="false" customHeight="false" outlineLevel="0" collapsed="false">
      <c r="A8" s="13" t="s">
        <v>17</v>
      </c>
      <c r="B8" s="13" t="s">
        <v>18</v>
      </c>
      <c r="C8" s="13" t="s">
        <v>19</v>
      </c>
      <c r="D8" s="13" t="s">
        <v>20</v>
      </c>
      <c r="E8" s="13" t="s">
        <v>21</v>
      </c>
      <c r="F8" s="13" t="s">
        <v>22</v>
      </c>
      <c r="G8" s="13" t="s">
        <v>23</v>
      </c>
    </row>
    <row r="9" customFormat="false" ht="15" hidden="false" customHeight="false" outlineLevel="0" collapsed="false">
      <c r="A9" s="14" t="s">
        <v>5</v>
      </c>
      <c r="B9" s="15" t="s">
        <v>24</v>
      </c>
      <c r="C9" s="15" t="s">
        <v>25</v>
      </c>
      <c r="D9" s="16" t="s">
        <v>26</v>
      </c>
      <c r="E9" s="17" t="s">
        <v>27</v>
      </c>
      <c r="F9" s="18" t="n">
        <v>0</v>
      </c>
      <c r="G9" s="15" t="s">
        <v>28</v>
      </c>
    </row>
    <row r="10" customFormat="false" ht="15" hidden="false" customHeight="false" outlineLevel="0" collapsed="false">
      <c r="A10" s="19" t="s">
        <v>29</v>
      </c>
      <c r="B10" s="15" t="s">
        <v>30</v>
      </c>
      <c r="C10" s="15" t="s">
        <v>31</v>
      </c>
      <c r="D10" s="16" t="s">
        <v>32</v>
      </c>
      <c r="E10" s="17" t="s">
        <v>27</v>
      </c>
      <c r="F10" s="18" t="n">
        <v>0</v>
      </c>
      <c r="G10" s="15" t="s">
        <v>33</v>
      </c>
    </row>
    <row r="11" customFormat="false" ht="23.85" hidden="false" customHeight="false" outlineLevel="0" collapsed="false">
      <c r="A11" s="20" t="s">
        <v>34</v>
      </c>
      <c r="B11" s="15" t="s">
        <v>35</v>
      </c>
      <c r="C11" s="15" t="s">
        <v>36</v>
      </c>
      <c r="D11" s="16" t="s">
        <v>37</v>
      </c>
      <c r="E11" s="21" t="s">
        <v>38</v>
      </c>
      <c r="F11" s="18" t="n">
        <v>0</v>
      </c>
      <c r="G11" s="15" t="s">
        <v>39</v>
      </c>
    </row>
    <row r="12" customFormat="false" ht="23.85" hidden="false" customHeight="false" outlineLevel="0" collapsed="false">
      <c r="A12" s="22" t="s">
        <v>40</v>
      </c>
      <c r="B12" s="15" t="s">
        <v>41</v>
      </c>
      <c r="C12" s="15" t="s">
        <v>42</v>
      </c>
      <c r="D12" s="16" t="s">
        <v>43</v>
      </c>
      <c r="E12" s="17" t="s">
        <v>27</v>
      </c>
      <c r="F12" s="18" t="n">
        <v>0</v>
      </c>
      <c r="G12" s="15" t="s">
        <v>44</v>
      </c>
    </row>
    <row r="13" customFormat="false" ht="23.85" hidden="false" customHeight="false" outlineLevel="0" collapsed="false">
      <c r="A13" s="23" t="s">
        <v>45</v>
      </c>
      <c r="B13" s="15" t="s">
        <v>46</v>
      </c>
      <c r="C13" s="15" t="s">
        <v>47</v>
      </c>
      <c r="D13" s="16" t="s">
        <v>43</v>
      </c>
      <c r="E13" s="17" t="s">
        <v>27</v>
      </c>
      <c r="F13" s="18" t="n">
        <v>0</v>
      </c>
      <c r="G13" s="15" t="s">
        <v>48</v>
      </c>
    </row>
    <row r="15" customFormat="false" ht="15" hidden="false" customHeight="false" outlineLevel="0" collapsed="false">
      <c r="A15" s="12" t="s">
        <v>49</v>
      </c>
    </row>
    <row r="16" customFormat="false" ht="15" hidden="false" customHeight="false" outlineLevel="0" collapsed="false">
      <c r="A16" s="13" t="s">
        <v>50</v>
      </c>
      <c r="B16" s="13" t="s">
        <v>51</v>
      </c>
      <c r="C16" s="13" t="s">
        <v>52</v>
      </c>
      <c r="D16" s="13" t="s">
        <v>53</v>
      </c>
      <c r="E16" s="13" t="s">
        <v>54</v>
      </c>
      <c r="F16" s="13" t="s">
        <v>19</v>
      </c>
      <c r="G16" s="13" t="s">
        <v>17</v>
      </c>
    </row>
    <row r="17" customFormat="false" ht="15" hidden="false" customHeight="false" outlineLevel="0" collapsed="false">
      <c r="A17" s="24" t="s">
        <v>55</v>
      </c>
      <c r="B17" s="16" t="s">
        <v>56</v>
      </c>
      <c r="C17" s="16" t="s">
        <v>57</v>
      </c>
      <c r="D17" s="16" t="s">
        <v>58</v>
      </c>
      <c r="E17" s="16" t="str">
        <f aca="false">C17</f>
        <v>99.9%</v>
      </c>
      <c r="F17" s="15" t="s">
        <v>36</v>
      </c>
      <c r="G17" s="25" t="s">
        <v>34</v>
      </c>
    </row>
    <row r="18" customFormat="false" ht="15" hidden="false" customHeight="false" outlineLevel="0" collapsed="false">
      <c r="A18" s="24" t="s">
        <v>59</v>
      </c>
      <c r="B18" s="16" t="s">
        <v>60</v>
      </c>
      <c r="C18" s="16" t="s">
        <v>61</v>
      </c>
      <c r="D18" s="16" t="s">
        <v>58</v>
      </c>
      <c r="E18" s="16" t="str">
        <f aca="false">C18</f>
        <v>7d</v>
      </c>
      <c r="F18" s="15" t="s">
        <v>62</v>
      </c>
      <c r="G18" s="26" t="s">
        <v>29</v>
      </c>
    </row>
    <row r="19" customFormat="false" ht="15" hidden="false" customHeight="false" outlineLevel="0" collapsed="false">
      <c r="A19" s="24" t="s">
        <v>63</v>
      </c>
      <c r="B19" s="16" t="s">
        <v>64</v>
      </c>
      <c r="C19" s="16" t="s">
        <v>65</v>
      </c>
      <c r="D19" s="16" t="s">
        <v>58</v>
      </c>
      <c r="E19" s="16" t="str">
        <f aca="false">C19</f>
        <v>85%</v>
      </c>
      <c r="F19" s="15" t="s">
        <v>66</v>
      </c>
      <c r="G19" s="27" t="s">
        <v>45</v>
      </c>
    </row>
    <row r="20" customFormat="false" ht="15" hidden="false" customHeight="false" outlineLevel="0" collapsed="false">
      <c r="A20" s="24" t="s">
        <v>67</v>
      </c>
      <c r="B20" s="16" t="s">
        <v>68</v>
      </c>
      <c r="C20" s="16" t="s">
        <v>69</v>
      </c>
      <c r="D20" s="16" t="s">
        <v>58</v>
      </c>
      <c r="E20" s="16" t="str">
        <f aca="false">C20</f>
        <v>12</v>
      </c>
      <c r="F20" s="15" t="s">
        <v>70</v>
      </c>
      <c r="G20" s="28" t="s">
        <v>40</v>
      </c>
    </row>
    <row r="21" customFormat="false" ht="15" hidden="false" customHeight="false" outlineLevel="0" collapsed="false">
      <c r="A21" s="24" t="s">
        <v>71</v>
      </c>
      <c r="B21" s="16" t="s">
        <v>64</v>
      </c>
      <c r="C21" s="16" t="s">
        <v>72</v>
      </c>
      <c r="D21" s="16" t="s">
        <v>58</v>
      </c>
      <c r="E21" s="16" t="str">
        <f aca="false">C21</f>
        <v>100%</v>
      </c>
      <c r="F21" s="15" t="s">
        <v>73</v>
      </c>
      <c r="G21" s="29" t="s">
        <v>5</v>
      </c>
    </row>
    <row r="22" customFormat="false" ht="15" hidden="false" customHeight="false" outlineLevel="0" collapsed="false">
      <c r="A22" s="24" t="s">
        <v>74</v>
      </c>
      <c r="B22" s="16" t="s">
        <v>58</v>
      </c>
      <c r="C22" s="16" t="s">
        <v>57</v>
      </c>
      <c r="D22" s="16" t="s">
        <v>58</v>
      </c>
      <c r="E22" s="16" t="str">
        <f aca="false">C22</f>
        <v>99.9%</v>
      </c>
      <c r="F22" s="15" t="s">
        <v>75</v>
      </c>
      <c r="G22" s="29" t="s">
        <v>5</v>
      </c>
    </row>
    <row r="25" customFormat="false" ht="15" hidden="false" customHeight="false" outlineLevel="0" collapsed="false">
      <c r="A25" s="30" t="s">
        <v>76</v>
      </c>
    </row>
    <row r="26" customFormat="false" ht="15" hidden="false" customHeight="false" outlineLevel="0" collapsed="false">
      <c r="A26" s="4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22"/>
    <col collapsed="false" customWidth="true" hidden="false" outlineLevel="0" max="8" min="7" style="0" width="14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30"/>
  </cols>
  <sheetData>
    <row r="1" customFormat="false" ht="24.45" hidden="false" customHeight="false" outlineLevel="0" collapsed="false">
      <c r="A1" s="1" t="s">
        <v>78</v>
      </c>
      <c r="G1" s="2" t="s">
        <v>1</v>
      </c>
    </row>
    <row r="2" customFormat="false" ht="15" hidden="false" customHeight="false" outlineLevel="0" collapsed="false">
      <c r="A2" s="3" t="s">
        <v>79</v>
      </c>
      <c r="G2" s="4" t="s">
        <v>3</v>
      </c>
    </row>
    <row r="4" customFormat="false" ht="15" hidden="false" customHeight="false" outlineLevel="0" collapsed="false">
      <c r="A4" s="13" t="s">
        <v>80</v>
      </c>
      <c r="B4" s="13" t="s">
        <v>17</v>
      </c>
      <c r="C4" s="13" t="s">
        <v>81</v>
      </c>
      <c r="D4" s="13" t="s">
        <v>82</v>
      </c>
      <c r="E4" s="13" t="s">
        <v>83</v>
      </c>
      <c r="F4" s="13" t="s">
        <v>19</v>
      </c>
      <c r="G4" s="13" t="s">
        <v>84</v>
      </c>
      <c r="H4" s="13" t="s">
        <v>85</v>
      </c>
      <c r="I4" s="13" t="s">
        <v>86</v>
      </c>
      <c r="J4" s="13" t="s">
        <v>87</v>
      </c>
      <c r="K4" s="13" t="s">
        <v>21</v>
      </c>
      <c r="L4" s="13" t="s">
        <v>88</v>
      </c>
      <c r="M4" s="13" t="s">
        <v>89</v>
      </c>
    </row>
    <row r="5" customFormat="false" ht="19.4" hidden="false" customHeight="false" outlineLevel="0" collapsed="false">
      <c r="A5" s="31" t="s">
        <v>90</v>
      </c>
      <c r="B5" s="32" t="s">
        <v>5</v>
      </c>
      <c r="C5" s="31" t="s">
        <v>91</v>
      </c>
      <c r="D5" s="33" t="s">
        <v>92</v>
      </c>
      <c r="E5" s="33" t="s">
        <v>93</v>
      </c>
      <c r="F5" s="33" t="s">
        <v>94</v>
      </c>
      <c r="G5" s="34" t="n">
        <v>46127</v>
      </c>
      <c r="H5" s="34" t="n">
        <v>46134</v>
      </c>
      <c r="I5" s="31" t="n">
        <f aca="false">H5-G5</f>
        <v>7</v>
      </c>
      <c r="J5" s="35" t="s">
        <v>91</v>
      </c>
      <c r="K5" s="36" t="s">
        <v>95</v>
      </c>
      <c r="L5" s="37" t="n">
        <v>0</v>
      </c>
      <c r="M5" s="33"/>
    </row>
    <row r="6" customFormat="false" ht="19.4" hidden="false" customHeight="false" outlineLevel="0" collapsed="false">
      <c r="A6" s="31" t="s">
        <v>96</v>
      </c>
      <c r="B6" s="32" t="s">
        <v>5</v>
      </c>
      <c r="C6" s="38" t="s">
        <v>91</v>
      </c>
      <c r="D6" s="39" t="s">
        <v>92</v>
      </c>
      <c r="E6" s="39" t="s">
        <v>97</v>
      </c>
      <c r="F6" s="39" t="s">
        <v>94</v>
      </c>
      <c r="G6" s="40" t="n">
        <v>46134</v>
      </c>
      <c r="H6" s="40" t="n">
        <v>46141</v>
      </c>
      <c r="I6" s="38" t="n">
        <f aca="false">H6-G6</f>
        <v>7</v>
      </c>
      <c r="J6" s="35" t="s">
        <v>91</v>
      </c>
      <c r="K6" s="36" t="s">
        <v>95</v>
      </c>
      <c r="L6" s="41" t="n">
        <v>0</v>
      </c>
      <c r="M6" s="39"/>
    </row>
    <row r="7" customFormat="false" ht="19.4" hidden="false" customHeight="false" outlineLevel="0" collapsed="false">
      <c r="A7" s="31" t="s">
        <v>98</v>
      </c>
      <c r="B7" s="32" t="s">
        <v>5</v>
      </c>
      <c r="C7" s="31" t="s">
        <v>91</v>
      </c>
      <c r="D7" s="33" t="s">
        <v>99</v>
      </c>
      <c r="E7" s="33" t="s">
        <v>100</v>
      </c>
      <c r="F7" s="33" t="s">
        <v>101</v>
      </c>
      <c r="G7" s="34" t="n">
        <v>46131</v>
      </c>
      <c r="H7" s="34" t="n">
        <v>46142</v>
      </c>
      <c r="I7" s="31" t="n">
        <f aca="false">H7-G7</f>
        <v>11</v>
      </c>
      <c r="J7" s="35" t="s">
        <v>91</v>
      </c>
      <c r="K7" s="36" t="s">
        <v>95</v>
      </c>
      <c r="L7" s="37" t="n">
        <v>0</v>
      </c>
      <c r="M7" s="33"/>
    </row>
    <row r="8" customFormat="false" ht="19.4" hidden="false" customHeight="false" outlineLevel="0" collapsed="false">
      <c r="A8" s="31" t="s">
        <v>102</v>
      </c>
      <c r="B8" s="32" t="s">
        <v>5</v>
      </c>
      <c r="C8" s="38" t="s">
        <v>91</v>
      </c>
      <c r="D8" s="39" t="s">
        <v>99</v>
      </c>
      <c r="E8" s="39" t="s">
        <v>103</v>
      </c>
      <c r="F8" s="39" t="s">
        <v>62</v>
      </c>
      <c r="G8" s="40" t="n">
        <v>46137</v>
      </c>
      <c r="H8" s="40" t="n">
        <v>46152</v>
      </c>
      <c r="I8" s="38" t="n">
        <f aca="false">H8-G8</f>
        <v>15</v>
      </c>
      <c r="J8" s="35" t="s">
        <v>91</v>
      </c>
      <c r="K8" s="36" t="s">
        <v>95</v>
      </c>
      <c r="L8" s="41" t="n">
        <v>0</v>
      </c>
      <c r="M8" s="39"/>
    </row>
    <row r="9" customFormat="false" ht="19.4" hidden="false" customHeight="false" outlineLevel="0" collapsed="false">
      <c r="A9" s="31" t="s">
        <v>104</v>
      </c>
      <c r="B9" s="32" t="s">
        <v>5</v>
      </c>
      <c r="C9" s="31" t="s">
        <v>91</v>
      </c>
      <c r="D9" s="33" t="s">
        <v>105</v>
      </c>
      <c r="E9" s="33" t="s">
        <v>106</v>
      </c>
      <c r="F9" s="33" t="s">
        <v>107</v>
      </c>
      <c r="G9" s="34" t="n">
        <v>46137</v>
      </c>
      <c r="H9" s="34" t="n">
        <v>46157</v>
      </c>
      <c r="I9" s="31" t="n">
        <f aca="false">H9-G9</f>
        <v>20</v>
      </c>
      <c r="J9" s="35" t="s">
        <v>91</v>
      </c>
      <c r="K9" s="36" t="s">
        <v>95</v>
      </c>
      <c r="L9" s="37" t="n">
        <v>0</v>
      </c>
      <c r="M9" s="33"/>
    </row>
    <row r="10" customFormat="false" ht="19.4" hidden="false" customHeight="false" outlineLevel="0" collapsed="false">
      <c r="A10" s="31" t="s">
        <v>108</v>
      </c>
      <c r="B10" s="32" t="s">
        <v>5</v>
      </c>
      <c r="C10" s="38" t="s">
        <v>91</v>
      </c>
      <c r="D10" s="39" t="s">
        <v>105</v>
      </c>
      <c r="E10" s="39" t="s">
        <v>109</v>
      </c>
      <c r="F10" s="39" t="s">
        <v>75</v>
      </c>
      <c r="G10" s="40" t="n">
        <v>46143</v>
      </c>
      <c r="H10" s="40" t="n">
        <v>46157</v>
      </c>
      <c r="I10" s="38" t="n">
        <f aca="false">H10-G10</f>
        <v>14</v>
      </c>
      <c r="J10" s="35" t="s">
        <v>91</v>
      </c>
      <c r="K10" s="36" t="s">
        <v>95</v>
      </c>
      <c r="L10" s="41" t="n">
        <v>0</v>
      </c>
      <c r="M10" s="39"/>
    </row>
    <row r="11" customFormat="false" ht="19.4" hidden="false" customHeight="false" outlineLevel="0" collapsed="false">
      <c r="A11" s="31" t="s">
        <v>110</v>
      </c>
      <c r="B11" s="32" t="s">
        <v>5</v>
      </c>
      <c r="C11" s="31" t="s">
        <v>91</v>
      </c>
      <c r="D11" s="33" t="s">
        <v>111</v>
      </c>
      <c r="E11" s="33" t="s">
        <v>112</v>
      </c>
      <c r="F11" s="33" t="s">
        <v>94</v>
      </c>
      <c r="G11" s="34" t="n">
        <v>46132</v>
      </c>
      <c r="H11" s="34" t="n">
        <v>46147</v>
      </c>
      <c r="I11" s="31" t="n">
        <f aca="false">H11-G11</f>
        <v>15</v>
      </c>
      <c r="J11" s="35" t="s">
        <v>91</v>
      </c>
      <c r="K11" s="36" t="s">
        <v>95</v>
      </c>
      <c r="L11" s="37" t="n">
        <v>0</v>
      </c>
      <c r="M11" s="33"/>
    </row>
    <row r="12" customFormat="false" ht="19.4" hidden="false" customHeight="false" outlineLevel="0" collapsed="false">
      <c r="A12" s="31" t="s">
        <v>113</v>
      </c>
      <c r="B12" s="32" t="s">
        <v>5</v>
      </c>
      <c r="C12" s="38" t="s">
        <v>91</v>
      </c>
      <c r="D12" s="39" t="s">
        <v>111</v>
      </c>
      <c r="E12" s="39" t="s">
        <v>114</v>
      </c>
      <c r="F12" s="39" t="s">
        <v>94</v>
      </c>
      <c r="G12" s="40" t="n">
        <v>46134</v>
      </c>
      <c r="H12" s="40" t="n">
        <v>46147</v>
      </c>
      <c r="I12" s="38" t="n">
        <f aca="false">H12-G12</f>
        <v>13</v>
      </c>
      <c r="J12" s="35" t="s">
        <v>91</v>
      </c>
      <c r="K12" s="36" t="s">
        <v>95</v>
      </c>
      <c r="L12" s="41" t="n">
        <v>0</v>
      </c>
      <c r="M12" s="39"/>
    </row>
    <row r="13" customFormat="false" ht="19.4" hidden="false" customHeight="false" outlineLevel="0" collapsed="false">
      <c r="A13" s="31" t="s">
        <v>115</v>
      </c>
      <c r="B13" s="32" t="s">
        <v>5</v>
      </c>
      <c r="C13" s="31" t="s">
        <v>91</v>
      </c>
      <c r="D13" s="33" t="s">
        <v>116</v>
      </c>
      <c r="E13" s="33" t="s">
        <v>117</v>
      </c>
      <c r="F13" s="33" t="s">
        <v>118</v>
      </c>
      <c r="G13" s="34" t="n">
        <v>46137</v>
      </c>
      <c r="H13" s="34" t="n">
        <v>46157</v>
      </c>
      <c r="I13" s="31" t="n">
        <f aca="false">H13-G13</f>
        <v>20</v>
      </c>
      <c r="J13" s="35" t="s">
        <v>91</v>
      </c>
      <c r="K13" s="36" t="s">
        <v>95</v>
      </c>
      <c r="L13" s="37" t="n">
        <v>0</v>
      </c>
      <c r="M13" s="33"/>
    </row>
    <row r="14" customFormat="false" ht="19.4" hidden="false" customHeight="false" outlineLevel="0" collapsed="false">
      <c r="A14" s="31" t="s">
        <v>119</v>
      </c>
      <c r="B14" s="32" t="s">
        <v>5</v>
      </c>
      <c r="C14" s="38" t="s">
        <v>91</v>
      </c>
      <c r="D14" s="39" t="s">
        <v>120</v>
      </c>
      <c r="E14" s="39" t="s">
        <v>121</v>
      </c>
      <c r="F14" s="39" t="s">
        <v>94</v>
      </c>
      <c r="G14" s="40" t="n">
        <v>46156</v>
      </c>
      <c r="H14" s="40" t="n">
        <v>46157</v>
      </c>
      <c r="I14" s="38" t="n">
        <f aca="false">H14-G14</f>
        <v>1</v>
      </c>
      <c r="J14" s="35" t="s">
        <v>91</v>
      </c>
      <c r="K14" s="36" t="s">
        <v>95</v>
      </c>
      <c r="L14" s="41" t="n">
        <v>0</v>
      </c>
      <c r="M14" s="39"/>
    </row>
    <row r="15" customFormat="false" ht="23.85" hidden="false" customHeight="false" outlineLevel="0" collapsed="false">
      <c r="A15" s="31" t="s">
        <v>122</v>
      </c>
      <c r="B15" s="32" t="s">
        <v>5</v>
      </c>
      <c r="C15" s="31" t="s">
        <v>123</v>
      </c>
      <c r="D15" s="33" t="s">
        <v>124</v>
      </c>
      <c r="E15" s="33" t="s">
        <v>125</v>
      </c>
      <c r="F15" s="33" t="s">
        <v>107</v>
      </c>
      <c r="G15" s="34" t="n">
        <v>46157</v>
      </c>
      <c r="H15" s="34" t="n">
        <v>46188</v>
      </c>
      <c r="I15" s="31" t="n">
        <f aca="false">H15-G15</f>
        <v>31</v>
      </c>
      <c r="J15" s="35" t="s">
        <v>126</v>
      </c>
      <c r="K15" s="36" t="s">
        <v>95</v>
      </c>
      <c r="L15" s="37" t="n">
        <v>0</v>
      </c>
      <c r="M15" s="33" t="s">
        <v>127</v>
      </c>
    </row>
    <row r="16" customFormat="false" ht="19.4" hidden="false" customHeight="false" outlineLevel="0" collapsed="false">
      <c r="A16" s="31" t="s">
        <v>128</v>
      </c>
      <c r="B16" s="32" t="s">
        <v>5</v>
      </c>
      <c r="C16" s="38" t="s">
        <v>123</v>
      </c>
      <c r="D16" s="39" t="s">
        <v>124</v>
      </c>
      <c r="E16" s="39" t="s">
        <v>129</v>
      </c>
      <c r="F16" s="39" t="s">
        <v>107</v>
      </c>
      <c r="G16" s="40" t="n">
        <v>46164</v>
      </c>
      <c r="H16" s="40" t="n">
        <v>46193</v>
      </c>
      <c r="I16" s="38" t="n">
        <f aca="false">H16-G16</f>
        <v>29</v>
      </c>
      <c r="J16" s="35" t="s">
        <v>126</v>
      </c>
      <c r="K16" s="36" t="s">
        <v>95</v>
      </c>
      <c r="L16" s="41" t="n">
        <v>0</v>
      </c>
      <c r="M16" s="39"/>
    </row>
    <row r="17" customFormat="false" ht="19.4" hidden="false" customHeight="false" outlineLevel="0" collapsed="false">
      <c r="A17" s="31" t="s">
        <v>130</v>
      </c>
      <c r="B17" s="32" t="s">
        <v>5</v>
      </c>
      <c r="C17" s="31" t="s">
        <v>131</v>
      </c>
      <c r="D17" s="33" t="s">
        <v>132</v>
      </c>
      <c r="E17" s="33" t="s">
        <v>133</v>
      </c>
      <c r="F17" s="33" t="s">
        <v>75</v>
      </c>
      <c r="G17" s="34" t="n">
        <v>46157</v>
      </c>
      <c r="H17" s="34" t="n">
        <v>46188</v>
      </c>
      <c r="I17" s="31" t="n">
        <f aca="false">H17-G17</f>
        <v>31</v>
      </c>
      <c r="J17" s="35" t="s">
        <v>126</v>
      </c>
      <c r="K17" s="36" t="s">
        <v>95</v>
      </c>
      <c r="L17" s="37" t="n">
        <v>0</v>
      </c>
      <c r="M17" s="33"/>
    </row>
    <row r="18" customFormat="false" ht="19.4" hidden="false" customHeight="false" outlineLevel="0" collapsed="false">
      <c r="A18" s="31" t="s">
        <v>134</v>
      </c>
      <c r="B18" s="32" t="s">
        <v>5</v>
      </c>
      <c r="C18" s="38" t="s">
        <v>131</v>
      </c>
      <c r="D18" s="39" t="s">
        <v>132</v>
      </c>
      <c r="E18" s="39" t="s">
        <v>135</v>
      </c>
      <c r="F18" s="39" t="s">
        <v>136</v>
      </c>
      <c r="G18" s="40" t="n">
        <v>46174</v>
      </c>
      <c r="H18" s="40" t="n">
        <v>46203</v>
      </c>
      <c r="I18" s="38" t="n">
        <f aca="false">H18-G18</f>
        <v>29</v>
      </c>
      <c r="J18" s="35" t="s">
        <v>126</v>
      </c>
      <c r="K18" s="36" t="s">
        <v>95</v>
      </c>
      <c r="L18" s="41" t="n">
        <v>0</v>
      </c>
      <c r="M18" s="39"/>
    </row>
    <row r="19" customFormat="false" ht="19.4" hidden="false" customHeight="false" outlineLevel="0" collapsed="false">
      <c r="A19" s="31" t="s">
        <v>137</v>
      </c>
      <c r="B19" s="42" t="s">
        <v>29</v>
      </c>
      <c r="C19" s="31" t="s">
        <v>138</v>
      </c>
      <c r="D19" s="33" t="s">
        <v>139</v>
      </c>
      <c r="E19" s="33" t="s">
        <v>140</v>
      </c>
      <c r="F19" s="33" t="s">
        <v>62</v>
      </c>
      <c r="G19" s="34" t="n">
        <v>46157</v>
      </c>
      <c r="H19" s="34" t="n">
        <v>46188</v>
      </c>
      <c r="I19" s="31" t="n">
        <f aca="false">H19-G19</f>
        <v>31</v>
      </c>
      <c r="J19" s="35" t="s">
        <v>126</v>
      </c>
      <c r="K19" s="36" t="s">
        <v>95</v>
      </c>
      <c r="L19" s="37" t="n">
        <v>0</v>
      </c>
      <c r="M19" s="33"/>
    </row>
    <row r="20" customFormat="false" ht="19.4" hidden="false" customHeight="false" outlineLevel="0" collapsed="false">
      <c r="A20" s="31" t="s">
        <v>141</v>
      </c>
      <c r="B20" s="42" t="s">
        <v>29</v>
      </c>
      <c r="C20" s="38" t="s">
        <v>142</v>
      </c>
      <c r="D20" s="39" t="s">
        <v>139</v>
      </c>
      <c r="E20" s="39" t="s">
        <v>143</v>
      </c>
      <c r="F20" s="39" t="s">
        <v>62</v>
      </c>
      <c r="G20" s="40" t="n">
        <v>46164</v>
      </c>
      <c r="H20" s="40" t="n">
        <v>46193</v>
      </c>
      <c r="I20" s="38" t="n">
        <f aca="false">H20-G20</f>
        <v>29</v>
      </c>
      <c r="J20" s="35" t="s">
        <v>126</v>
      </c>
      <c r="K20" s="36" t="s">
        <v>95</v>
      </c>
      <c r="L20" s="41" t="n">
        <v>0</v>
      </c>
      <c r="M20" s="39"/>
    </row>
    <row r="21" customFormat="false" ht="19.4" hidden="false" customHeight="false" outlineLevel="0" collapsed="false">
      <c r="A21" s="31" t="s">
        <v>144</v>
      </c>
      <c r="B21" s="42" t="s">
        <v>29</v>
      </c>
      <c r="C21" s="31" t="s">
        <v>145</v>
      </c>
      <c r="D21" s="33" t="s">
        <v>139</v>
      </c>
      <c r="E21" s="33" t="s">
        <v>146</v>
      </c>
      <c r="F21" s="33" t="s">
        <v>62</v>
      </c>
      <c r="G21" s="34" t="n">
        <v>46174</v>
      </c>
      <c r="H21" s="34" t="n">
        <v>46204</v>
      </c>
      <c r="I21" s="31" t="n">
        <f aca="false">H21-G21</f>
        <v>30</v>
      </c>
      <c r="J21" s="35" t="s">
        <v>126</v>
      </c>
      <c r="K21" s="36" t="s">
        <v>95</v>
      </c>
      <c r="L21" s="37" t="n">
        <v>0</v>
      </c>
      <c r="M21" s="33"/>
    </row>
    <row r="22" customFormat="false" ht="19.4" hidden="false" customHeight="false" outlineLevel="0" collapsed="false">
      <c r="A22" s="31" t="s">
        <v>147</v>
      </c>
      <c r="B22" s="42" t="s">
        <v>29</v>
      </c>
      <c r="C22" s="38" t="s">
        <v>148</v>
      </c>
      <c r="D22" s="39" t="s">
        <v>139</v>
      </c>
      <c r="E22" s="39" t="s">
        <v>149</v>
      </c>
      <c r="F22" s="39" t="s">
        <v>150</v>
      </c>
      <c r="G22" s="40" t="n">
        <v>46174</v>
      </c>
      <c r="H22" s="40" t="n">
        <v>46204</v>
      </c>
      <c r="I22" s="38" t="n">
        <f aca="false">H22-G22</f>
        <v>30</v>
      </c>
      <c r="J22" s="35" t="s">
        <v>126</v>
      </c>
      <c r="K22" s="36" t="s">
        <v>95</v>
      </c>
      <c r="L22" s="41" t="n">
        <v>0</v>
      </c>
      <c r="M22" s="39"/>
    </row>
    <row r="23" customFormat="false" ht="19.4" hidden="false" customHeight="false" outlineLevel="0" collapsed="false">
      <c r="A23" s="31" t="s">
        <v>151</v>
      </c>
      <c r="B23" s="43" t="s">
        <v>34</v>
      </c>
      <c r="C23" s="31" t="s">
        <v>152</v>
      </c>
      <c r="D23" s="33" t="s">
        <v>139</v>
      </c>
      <c r="E23" s="33" t="s">
        <v>153</v>
      </c>
      <c r="F23" s="33" t="s">
        <v>36</v>
      </c>
      <c r="G23" s="34" t="n">
        <v>46157</v>
      </c>
      <c r="H23" s="34" t="n">
        <v>46183</v>
      </c>
      <c r="I23" s="31" t="n">
        <f aca="false">H23-G23</f>
        <v>26</v>
      </c>
      <c r="J23" s="35" t="s">
        <v>126</v>
      </c>
      <c r="K23" s="36" t="s">
        <v>95</v>
      </c>
      <c r="L23" s="37" t="n">
        <v>0</v>
      </c>
      <c r="M23" s="33"/>
    </row>
    <row r="24" customFormat="false" ht="19.4" hidden="false" customHeight="false" outlineLevel="0" collapsed="false">
      <c r="A24" s="31" t="s">
        <v>154</v>
      </c>
      <c r="B24" s="43" t="s">
        <v>34</v>
      </c>
      <c r="C24" s="38" t="s">
        <v>152</v>
      </c>
      <c r="D24" s="39" t="s">
        <v>139</v>
      </c>
      <c r="E24" s="39" t="s">
        <v>155</v>
      </c>
      <c r="F24" s="39" t="s">
        <v>36</v>
      </c>
      <c r="G24" s="40" t="n">
        <v>46162</v>
      </c>
      <c r="H24" s="40" t="n">
        <v>46188</v>
      </c>
      <c r="I24" s="38" t="n">
        <f aca="false">H24-G24</f>
        <v>26</v>
      </c>
      <c r="J24" s="35" t="s">
        <v>126</v>
      </c>
      <c r="K24" s="36" t="s">
        <v>95</v>
      </c>
      <c r="L24" s="41" t="n">
        <v>0</v>
      </c>
      <c r="M24" s="39"/>
    </row>
    <row r="25" customFormat="false" ht="19.4" hidden="false" customHeight="false" outlineLevel="0" collapsed="false">
      <c r="A25" s="31" t="s">
        <v>156</v>
      </c>
      <c r="B25" s="43" t="s">
        <v>34</v>
      </c>
      <c r="C25" s="31" t="s">
        <v>152</v>
      </c>
      <c r="D25" s="33" t="s">
        <v>139</v>
      </c>
      <c r="E25" s="33" t="s">
        <v>157</v>
      </c>
      <c r="F25" s="33" t="s">
        <v>36</v>
      </c>
      <c r="G25" s="34" t="n">
        <v>46167</v>
      </c>
      <c r="H25" s="34" t="n">
        <v>46193</v>
      </c>
      <c r="I25" s="31" t="n">
        <f aca="false">H25-G25</f>
        <v>26</v>
      </c>
      <c r="J25" s="35" t="s">
        <v>126</v>
      </c>
      <c r="K25" s="36" t="s">
        <v>95</v>
      </c>
      <c r="L25" s="37" t="n">
        <v>0</v>
      </c>
      <c r="M25" s="33"/>
    </row>
    <row r="26" customFormat="false" ht="19.4" hidden="false" customHeight="false" outlineLevel="0" collapsed="false">
      <c r="A26" s="31" t="s">
        <v>158</v>
      </c>
      <c r="B26" s="43" t="s">
        <v>34</v>
      </c>
      <c r="C26" s="38" t="s">
        <v>159</v>
      </c>
      <c r="D26" s="39" t="s">
        <v>139</v>
      </c>
      <c r="E26" s="39" t="s">
        <v>160</v>
      </c>
      <c r="F26" s="39" t="s">
        <v>161</v>
      </c>
      <c r="G26" s="40" t="n">
        <v>46174</v>
      </c>
      <c r="H26" s="40" t="n">
        <v>46204</v>
      </c>
      <c r="I26" s="38" t="n">
        <f aca="false">H26-G26</f>
        <v>30</v>
      </c>
      <c r="J26" s="35" t="s">
        <v>126</v>
      </c>
      <c r="K26" s="36" t="s">
        <v>95</v>
      </c>
      <c r="L26" s="41" t="n">
        <v>0</v>
      </c>
      <c r="M26" s="39"/>
    </row>
    <row r="27" customFormat="false" ht="19.4" hidden="false" customHeight="false" outlineLevel="0" collapsed="false">
      <c r="A27" s="31" t="s">
        <v>162</v>
      </c>
      <c r="B27" s="44" t="s">
        <v>40</v>
      </c>
      <c r="C27" s="31" t="s">
        <v>41</v>
      </c>
      <c r="D27" s="33" t="s">
        <v>139</v>
      </c>
      <c r="E27" s="33" t="s">
        <v>163</v>
      </c>
      <c r="F27" s="33" t="s">
        <v>42</v>
      </c>
      <c r="G27" s="34" t="n">
        <v>46174</v>
      </c>
      <c r="H27" s="34" t="n">
        <v>46218</v>
      </c>
      <c r="I27" s="31" t="n">
        <f aca="false">H27-G27</f>
        <v>44</v>
      </c>
      <c r="J27" s="35" t="s">
        <v>126</v>
      </c>
      <c r="K27" s="36" t="s">
        <v>95</v>
      </c>
      <c r="L27" s="37" t="n">
        <v>0</v>
      </c>
      <c r="M27" s="33"/>
    </row>
    <row r="28" customFormat="false" ht="19.4" hidden="false" customHeight="false" outlineLevel="0" collapsed="false">
      <c r="A28" s="31" t="s">
        <v>164</v>
      </c>
      <c r="B28" s="45" t="s">
        <v>45</v>
      </c>
      <c r="C28" s="38" t="s">
        <v>46</v>
      </c>
      <c r="D28" s="39" t="s">
        <v>139</v>
      </c>
      <c r="E28" s="39" t="s">
        <v>165</v>
      </c>
      <c r="F28" s="39" t="s">
        <v>47</v>
      </c>
      <c r="G28" s="40" t="n">
        <v>46157</v>
      </c>
      <c r="H28" s="40" t="n">
        <v>46203</v>
      </c>
      <c r="I28" s="38" t="n">
        <f aca="false">H28-G28</f>
        <v>46</v>
      </c>
      <c r="J28" s="35" t="s">
        <v>126</v>
      </c>
      <c r="K28" s="36" t="s">
        <v>95</v>
      </c>
      <c r="L28" s="41" t="n">
        <v>0</v>
      </c>
      <c r="M28" s="39"/>
    </row>
    <row r="29" customFormat="false" ht="19.4" hidden="false" customHeight="false" outlineLevel="0" collapsed="false">
      <c r="A29" s="31" t="s">
        <v>166</v>
      </c>
      <c r="B29" s="45" t="s">
        <v>45</v>
      </c>
      <c r="C29" s="31" t="s">
        <v>46</v>
      </c>
      <c r="D29" s="33" t="s">
        <v>139</v>
      </c>
      <c r="E29" s="33" t="s">
        <v>167</v>
      </c>
      <c r="F29" s="33" t="s">
        <v>168</v>
      </c>
      <c r="G29" s="34" t="n">
        <v>46164</v>
      </c>
      <c r="H29" s="34" t="n">
        <v>46193</v>
      </c>
      <c r="I29" s="31" t="n">
        <f aca="false">H29-G29</f>
        <v>29</v>
      </c>
      <c r="J29" s="35" t="s">
        <v>126</v>
      </c>
      <c r="K29" s="36" t="s">
        <v>95</v>
      </c>
      <c r="L29" s="37" t="n">
        <v>0</v>
      </c>
      <c r="M29" s="33"/>
    </row>
    <row r="30" customFormat="false" ht="19.4" hidden="false" customHeight="false" outlineLevel="0" collapsed="false">
      <c r="A30" s="31" t="s">
        <v>169</v>
      </c>
      <c r="B30" s="32" t="s">
        <v>5</v>
      </c>
      <c r="C30" s="38" t="s">
        <v>170</v>
      </c>
      <c r="D30" s="39" t="s">
        <v>171</v>
      </c>
      <c r="E30" s="39" t="s">
        <v>172</v>
      </c>
      <c r="F30" s="39" t="s">
        <v>107</v>
      </c>
      <c r="G30" s="40" t="n">
        <v>46174</v>
      </c>
      <c r="H30" s="40" t="n">
        <v>46218</v>
      </c>
      <c r="I30" s="38" t="n">
        <f aca="false">H30-G30</f>
        <v>44</v>
      </c>
      <c r="J30" s="35" t="s">
        <v>126</v>
      </c>
      <c r="K30" s="36" t="s">
        <v>95</v>
      </c>
      <c r="L30" s="41" t="n">
        <v>0</v>
      </c>
      <c r="M30" s="39"/>
    </row>
    <row r="31" customFormat="false" ht="23.85" hidden="false" customHeight="false" outlineLevel="0" collapsed="false">
      <c r="A31" s="31" t="s">
        <v>173</v>
      </c>
      <c r="B31" s="32" t="s">
        <v>5</v>
      </c>
      <c r="C31" s="31" t="s">
        <v>170</v>
      </c>
      <c r="D31" s="33" t="s">
        <v>168</v>
      </c>
      <c r="E31" s="33" t="s">
        <v>174</v>
      </c>
      <c r="F31" s="33" t="s">
        <v>168</v>
      </c>
      <c r="G31" s="34" t="n">
        <v>46157</v>
      </c>
      <c r="H31" s="34" t="n">
        <v>46218</v>
      </c>
      <c r="I31" s="31" t="n">
        <f aca="false">H31-G31</f>
        <v>61</v>
      </c>
      <c r="J31" s="35" t="s">
        <v>126</v>
      </c>
      <c r="K31" s="36" t="s">
        <v>95</v>
      </c>
      <c r="L31" s="37" t="n">
        <v>0</v>
      </c>
      <c r="M31" s="33"/>
    </row>
    <row r="32" customFormat="false" ht="19.4" hidden="false" customHeight="false" outlineLevel="0" collapsed="false">
      <c r="A32" s="31" t="s">
        <v>175</v>
      </c>
      <c r="B32" s="32" t="s">
        <v>5</v>
      </c>
      <c r="C32" s="38" t="s">
        <v>123</v>
      </c>
      <c r="D32" s="39" t="s">
        <v>176</v>
      </c>
      <c r="E32" s="39" t="s">
        <v>177</v>
      </c>
      <c r="F32" s="39" t="s">
        <v>178</v>
      </c>
      <c r="G32" s="40" t="n">
        <v>46218</v>
      </c>
      <c r="H32" s="40" t="n">
        <v>46265</v>
      </c>
      <c r="I32" s="38" t="n">
        <f aca="false">H32-G32</f>
        <v>47</v>
      </c>
      <c r="J32" s="35" t="s">
        <v>179</v>
      </c>
      <c r="K32" s="36" t="s">
        <v>95</v>
      </c>
      <c r="L32" s="41" t="n">
        <v>0</v>
      </c>
      <c r="M32" s="39"/>
    </row>
    <row r="33" customFormat="false" ht="19.4" hidden="false" customHeight="false" outlineLevel="0" collapsed="false">
      <c r="A33" s="31" t="s">
        <v>180</v>
      </c>
      <c r="B33" s="32" t="s">
        <v>5</v>
      </c>
      <c r="C33" s="31" t="s">
        <v>123</v>
      </c>
      <c r="D33" s="33" t="s">
        <v>176</v>
      </c>
      <c r="E33" s="33" t="s">
        <v>181</v>
      </c>
      <c r="F33" s="33" t="s">
        <v>178</v>
      </c>
      <c r="G33" s="34" t="n">
        <v>46235</v>
      </c>
      <c r="H33" s="34" t="n">
        <v>46275</v>
      </c>
      <c r="I33" s="31" t="n">
        <f aca="false">H33-G33</f>
        <v>40</v>
      </c>
      <c r="J33" s="35" t="s">
        <v>179</v>
      </c>
      <c r="K33" s="36" t="s">
        <v>95</v>
      </c>
      <c r="L33" s="37" t="n">
        <v>0</v>
      </c>
      <c r="M33" s="33"/>
    </row>
    <row r="34" customFormat="false" ht="19.4" hidden="false" customHeight="false" outlineLevel="0" collapsed="false">
      <c r="A34" s="31" t="s">
        <v>182</v>
      </c>
      <c r="B34" s="32" t="s">
        <v>5</v>
      </c>
      <c r="C34" s="38" t="s">
        <v>123</v>
      </c>
      <c r="D34" s="39" t="s">
        <v>176</v>
      </c>
      <c r="E34" s="39" t="s">
        <v>183</v>
      </c>
      <c r="F34" s="39" t="s">
        <v>178</v>
      </c>
      <c r="G34" s="40" t="n">
        <v>46249</v>
      </c>
      <c r="H34" s="40" t="n">
        <v>46280</v>
      </c>
      <c r="I34" s="38" t="n">
        <f aca="false">H34-G34</f>
        <v>31</v>
      </c>
      <c r="J34" s="35" t="s">
        <v>179</v>
      </c>
      <c r="K34" s="36" t="s">
        <v>95</v>
      </c>
      <c r="L34" s="41" t="n">
        <v>0</v>
      </c>
      <c r="M34" s="39"/>
    </row>
    <row r="35" customFormat="false" ht="19.4" hidden="false" customHeight="false" outlineLevel="0" collapsed="false">
      <c r="A35" s="31" t="s">
        <v>184</v>
      </c>
      <c r="B35" s="32" t="s">
        <v>5</v>
      </c>
      <c r="C35" s="31" t="s">
        <v>123</v>
      </c>
      <c r="D35" s="33" t="s">
        <v>176</v>
      </c>
      <c r="E35" s="33" t="s">
        <v>185</v>
      </c>
      <c r="F35" s="33" t="s">
        <v>178</v>
      </c>
      <c r="G35" s="34" t="n">
        <v>46254</v>
      </c>
      <c r="H35" s="34" t="n">
        <v>46280</v>
      </c>
      <c r="I35" s="31" t="n">
        <f aca="false">H35-G35</f>
        <v>26</v>
      </c>
      <c r="J35" s="35" t="s">
        <v>179</v>
      </c>
      <c r="K35" s="36" t="s">
        <v>95</v>
      </c>
      <c r="L35" s="37" t="n">
        <v>0</v>
      </c>
      <c r="M35" s="33"/>
    </row>
    <row r="36" customFormat="false" ht="19.4" hidden="false" customHeight="false" outlineLevel="0" collapsed="false">
      <c r="A36" s="31" t="s">
        <v>186</v>
      </c>
      <c r="B36" s="32" t="s">
        <v>5</v>
      </c>
      <c r="C36" s="38" t="s">
        <v>131</v>
      </c>
      <c r="D36" s="39" t="s">
        <v>176</v>
      </c>
      <c r="E36" s="39" t="s">
        <v>187</v>
      </c>
      <c r="F36" s="39" t="s">
        <v>178</v>
      </c>
      <c r="G36" s="40" t="n">
        <v>46218</v>
      </c>
      <c r="H36" s="40" t="n">
        <v>46265</v>
      </c>
      <c r="I36" s="38" t="n">
        <f aca="false">H36-G36</f>
        <v>47</v>
      </c>
      <c r="J36" s="35" t="s">
        <v>179</v>
      </c>
      <c r="K36" s="36" t="s">
        <v>95</v>
      </c>
      <c r="L36" s="41" t="n">
        <v>0</v>
      </c>
      <c r="M36" s="39"/>
    </row>
    <row r="37" customFormat="false" ht="19.4" hidden="false" customHeight="false" outlineLevel="0" collapsed="false">
      <c r="A37" s="31" t="s">
        <v>188</v>
      </c>
      <c r="B37" s="32" t="s">
        <v>5</v>
      </c>
      <c r="C37" s="31" t="s">
        <v>131</v>
      </c>
      <c r="D37" s="33" t="s">
        <v>176</v>
      </c>
      <c r="E37" s="33" t="s">
        <v>189</v>
      </c>
      <c r="F37" s="33" t="s">
        <v>178</v>
      </c>
      <c r="G37" s="34" t="n">
        <v>46235</v>
      </c>
      <c r="H37" s="34" t="n">
        <v>46270</v>
      </c>
      <c r="I37" s="31" t="n">
        <f aca="false">H37-G37</f>
        <v>35</v>
      </c>
      <c r="J37" s="35" t="s">
        <v>179</v>
      </c>
      <c r="K37" s="36" t="s">
        <v>95</v>
      </c>
      <c r="L37" s="37" t="n">
        <v>0</v>
      </c>
      <c r="M37" s="33"/>
    </row>
    <row r="38" customFormat="false" ht="19.4" hidden="false" customHeight="false" outlineLevel="0" collapsed="false">
      <c r="A38" s="31" t="s">
        <v>190</v>
      </c>
      <c r="B38" s="32" t="s">
        <v>5</v>
      </c>
      <c r="C38" s="38" t="s">
        <v>131</v>
      </c>
      <c r="D38" s="39" t="s">
        <v>176</v>
      </c>
      <c r="E38" s="39" t="s">
        <v>191</v>
      </c>
      <c r="F38" s="39" t="s">
        <v>178</v>
      </c>
      <c r="G38" s="40" t="n">
        <v>46244</v>
      </c>
      <c r="H38" s="40" t="n">
        <v>46280</v>
      </c>
      <c r="I38" s="38" t="n">
        <f aca="false">H38-G38</f>
        <v>36</v>
      </c>
      <c r="J38" s="35" t="s">
        <v>179</v>
      </c>
      <c r="K38" s="36" t="s">
        <v>95</v>
      </c>
      <c r="L38" s="41" t="n">
        <v>0</v>
      </c>
      <c r="M38" s="39"/>
    </row>
    <row r="39" customFormat="false" ht="19.4" hidden="false" customHeight="false" outlineLevel="0" collapsed="false">
      <c r="A39" s="31" t="s">
        <v>192</v>
      </c>
      <c r="B39" s="32" t="s">
        <v>5</v>
      </c>
      <c r="C39" s="31" t="s">
        <v>131</v>
      </c>
      <c r="D39" s="33" t="s">
        <v>176</v>
      </c>
      <c r="E39" s="33" t="s">
        <v>193</v>
      </c>
      <c r="F39" s="33" t="s">
        <v>178</v>
      </c>
      <c r="G39" s="34" t="n">
        <v>46254</v>
      </c>
      <c r="H39" s="34" t="n">
        <v>46280</v>
      </c>
      <c r="I39" s="31" t="n">
        <f aca="false">H39-G39</f>
        <v>26</v>
      </c>
      <c r="J39" s="35" t="s">
        <v>179</v>
      </c>
      <c r="K39" s="36" t="s">
        <v>95</v>
      </c>
      <c r="L39" s="37" t="n">
        <v>0</v>
      </c>
      <c r="M39" s="33"/>
    </row>
    <row r="40" customFormat="false" ht="19.4" hidden="false" customHeight="false" outlineLevel="0" collapsed="false">
      <c r="A40" s="31" t="s">
        <v>194</v>
      </c>
      <c r="B40" s="32" t="s">
        <v>5</v>
      </c>
      <c r="C40" s="38" t="s">
        <v>123</v>
      </c>
      <c r="D40" s="39" t="s">
        <v>195</v>
      </c>
      <c r="E40" s="39" t="s">
        <v>196</v>
      </c>
      <c r="F40" s="39" t="s">
        <v>197</v>
      </c>
      <c r="G40" s="40" t="n">
        <v>46223</v>
      </c>
      <c r="H40" s="40" t="n">
        <v>46275</v>
      </c>
      <c r="I40" s="38" t="n">
        <f aca="false">H40-G40</f>
        <v>52</v>
      </c>
      <c r="J40" s="35" t="s">
        <v>179</v>
      </c>
      <c r="K40" s="36" t="s">
        <v>95</v>
      </c>
      <c r="L40" s="41" t="n">
        <v>0</v>
      </c>
      <c r="M40" s="39"/>
    </row>
    <row r="41" customFormat="false" ht="19.4" hidden="false" customHeight="false" outlineLevel="0" collapsed="false">
      <c r="A41" s="31" t="s">
        <v>198</v>
      </c>
      <c r="B41" s="32" t="s">
        <v>5</v>
      </c>
      <c r="C41" s="31" t="s">
        <v>123</v>
      </c>
      <c r="D41" s="33" t="s">
        <v>195</v>
      </c>
      <c r="E41" s="33" t="s">
        <v>199</v>
      </c>
      <c r="F41" s="33" t="s">
        <v>197</v>
      </c>
      <c r="G41" s="34" t="n">
        <v>46235</v>
      </c>
      <c r="H41" s="34" t="n">
        <v>46280</v>
      </c>
      <c r="I41" s="31" t="n">
        <f aca="false">H41-G41</f>
        <v>45</v>
      </c>
      <c r="J41" s="35" t="s">
        <v>179</v>
      </c>
      <c r="K41" s="36" t="s">
        <v>95</v>
      </c>
      <c r="L41" s="37" t="n">
        <v>0</v>
      </c>
      <c r="M41" s="33"/>
    </row>
    <row r="42" customFormat="false" ht="19.4" hidden="false" customHeight="false" outlineLevel="0" collapsed="false">
      <c r="A42" s="31" t="s">
        <v>200</v>
      </c>
      <c r="B42" s="32" t="s">
        <v>5</v>
      </c>
      <c r="C42" s="38" t="s">
        <v>123</v>
      </c>
      <c r="D42" s="39" t="s">
        <v>201</v>
      </c>
      <c r="E42" s="39" t="s">
        <v>202</v>
      </c>
      <c r="F42" s="39" t="s">
        <v>201</v>
      </c>
      <c r="G42" s="40" t="n">
        <v>46223</v>
      </c>
      <c r="H42" s="40" t="n">
        <v>46275</v>
      </c>
      <c r="I42" s="38" t="n">
        <f aca="false">H42-G42</f>
        <v>52</v>
      </c>
      <c r="J42" s="35" t="s">
        <v>179</v>
      </c>
      <c r="K42" s="36" t="s">
        <v>95</v>
      </c>
      <c r="L42" s="41" t="n">
        <v>0</v>
      </c>
      <c r="M42" s="39"/>
    </row>
    <row r="43" customFormat="false" ht="19.4" hidden="false" customHeight="false" outlineLevel="0" collapsed="false">
      <c r="A43" s="31" t="s">
        <v>203</v>
      </c>
      <c r="B43" s="32" t="s">
        <v>5</v>
      </c>
      <c r="C43" s="31" t="s">
        <v>123</v>
      </c>
      <c r="D43" s="33" t="s">
        <v>201</v>
      </c>
      <c r="E43" s="33" t="s">
        <v>204</v>
      </c>
      <c r="F43" s="33" t="s">
        <v>205</v>
      </c>
      <c r="G43" s="34" t="n">
        <v>46266</v>
      </c>
      <c r="H43" s="34" t="n">
        <v>46280</v>
      </c>
      <c r="I43" s="31" t="n">
        <f aca="false">H43-G43</f>
        <v>14</v>
      </c>
      <c r="J43" s="35" t="s">
        <v>179</v>
      </c>
      <c r="K43" s="36" t="s">
        <v>95</v>
      </c>
      <c r="L43" s="37" t="n">
        <v>0</v>
      </c>
      <c r="M43" s="33"/>
    </row>
    <row r="44" customFormat="false" ht="23.85" hidden="false" customHeight="false" outlineLevel="0" collapsed="false">
      <c r="A44" s="31" t="s">
        <v>206</v>
      </c>
      <c r="B44" s="43" t="s">
        <v>34</v>
      </c>
      <c r="C44" s="38" t="s">
        <v>152</v>
      </c>
      <c r="D44" s="39" t="s">
        <v>176</v>
      </c>
      <c r="E44" s="39" t="s">
        <v>207</v>
      </c>
      <c r="F44" s="39" t="s">
        <v>208</v>
      </c>
      <c r="G44" s="40" t="n">
        <v>46280</v>
      </c>
      <c r="H44" s="40" t="n">
        <v>46327</v>
      </c>
      <c r="I44" s="38" t="n">
        <f aca="false">H44-G44</f>
        <v>47</v>
      </c>
      <c r="J44" s="35" t="s">
        <v>209</v>
      </c>
      <c r="K44" s="36" t="s">
        <v>95</v>
      </c>
      <c r="L44" s="41" t="n">
        <v>0</v>
      </c>
      <c r="M44" s="39"/>
    </row>
    <row r="45" customFormat="false" ht="19.4" hidden="false" customHeight="false" outlineLevel="0" collapsed="false">
      <c r="A45" s="31" t="s">
        <v>210</v>
      </c>
      <c r="B45" s="43" t="s">
        <v>34</v>
      </c>
      <c r="C45" s="31" t="s">
        <v>152</v>
      </c>
      <c r="D45" s="33" t="s">
        <v>176</v>
      </c>
      <c r="E45" s="33" t="s">
        <v>211</v>
      </c>
      <c r="F45" s="33" t="s">
        <v>208</v>
      </c>
      <c r="G45" s="34" t="n">
        <v>46285</v>
      </c>
      <c r="H45" s="34" t="n">
        <v>46326</v>
      </c>
      <c r="I45" s="31" t="n">
        <f aca="false">H45-G45</f>
        <v>41</v>
      </c>
      <c r="J45" s="35" t="s">
        <v>209</v>
      </c>
      <c r="K45" s="36" t="s">
        <v>95</v>
      </c>
      <c r="L45" s="37" t="n">
        <v>0</v>
      </c>
      <c r="M45" s="33" t="s">
        <v>212</v>
      </c>
    </row>
    <row r="46" customFormat="false" ht="19.4" hidden="false" customHeight="false" outlineLevel="0" collapsed="false">
      <c r="A46" s="31" t="s">
        <v>213</v>
      </c>
      <c r="B46" s="43" t="s">
        <v>34</v>
      </c>
      <c r="C46" s="38" t="s">
        <v>152</v>
      </c>
      <c r="D46" s="39" t="s">
        <v>176</v>
      </c>
      <c r="E46" s="39" t="s">
        <v>214</v>
      </c>
      <c r="F46" s="39" t="s">
        <v>208</v>
      </c>
      <c r="G46" s="40" t="n">
        <v>46290</v>
      </c>
      <c r="H46" s="40" t="n">
        <v>46326</v>
      </c>
      <c r="I46" s="38" t="n">
        <f aca="false">H46-G46</f>
        <v>36</v>
      </c>
      <c r="J46" s="35" t="s">
        <v>209</v>
      </c>
      <c r="K46" s="36" t="s">
        <v>95</v>
      </c>
      <c r="L46" s="41" t="n">
        <v>0</v>
      </c>
      <c r="M46" s="39"/>
    </row>
    <row r="47" customFormat="false" ht="19.4" hidden="false" customHeight="false" outlineLevel="0" collapsed="false">
      <c r="A47" s="31" t="s">
        <v>215</v>
      </c>
      <c r="B47" s="43" t="s">
        <v>34</v>
      </c>
      <c r="C47" s="31" t="s">
        <v>152</v>
      </c>
      <c r="D47" s="33" t="s">
        <v>176</v>
      </c>
      <c r="E47" s="33" t="s">
        <v>216</v>
      </c>
      <c r="F47" s="33" t="s">
        <v>208</v>
      </c>
      <c r="G47" s="34" t="n">
        <v>46296</v>
      </c>
      <c r="H47" s="34" t="n">
        <v>46327</v>
      </c>
      <c r="I47" s="31" t="n">
        <f aca="false">H47-G47</f>
        <v>31</v>
      </c>
      <c r="J47" s="35" t="s">
        <v>209</v>
      </c>
      <c r="K47" s="36" t="s">
        <v>95</v>
      </c>
      <c r="L47" s="37" t="n">
        <v>0</v>
      </c>
      <c r="M47" s="33"/>
    </row>
    <row r="48" customFormat="false" ht="19.4" hidden="false" customHeight="false" outlineLevel="0" collapsed="false">
      <c r="A48" s="31" t="s">
        <v>217</v>
      </c>
      <c r="B48" s="43" t="s">
        <v>34</v>
      </c>
      <c r="C48" s="38" t="s">
        <v>152</v>
      </c>
      <c r="D48" s="39" t="s">
        <v>176</v>
      </c>
      <c r="E48" s="39" t="s">
        <v>218</v>
      </c>
      <c r="F48" s="39" t="s">
        <v>208</v>
      </c>
      <c r="G48" s="40" t="n">
        <v>46305</v>
      </c>
      <c r="H48" s="40" t="n">
        <v>46336</v>
      </c>
      <c r="I48" s="38" t="n">
        <f aca="false">H48-G48</f>
        <v>31</v>
      </c>
      <c r="J48" s="35" t="s">
        <v>209</v>
      </c>
      <c r="K48" s="36" t="s">
        <v>95</v>
      </c>
      <c r="L48" s="41" t="n">
        <v>0</v>
      </c>
      <c r="M48" s="39"/>
    </row>
    <row r="49" customFormat="false" ht="23.85" hidden="false" customHeight="false" outlineLevel="0" collapsed="false">
      <c r="A49" s="31" t="s">
        <v>219</v>
      </c>
      <c r="B49" s="43" t="s">
        <v>34</v>
      </c>
      <c r="C49" s="31" t="s">
        <v>152</v>
      </c>
      <c r="D49" s="33" t="s">
        <v>220</v>
      </c>
      <c r="E49" s="33" t="s">
        <v>221</v>
      </c>
      <c r="F49" s="33" t="s">
        <v>222</v>
      </c>
      <c r="G49" s="34" t="n">
        <v>46296</v>
      </c>
      <c r="H49" s="34" t="n">
        <v>46310</v>
      </c>
      <c r="I49" s="31" t="n">
        <f aca="false">H49-G49</f>
        <v>14</v>
      </c>
      <c r="J49" s="35" t="s">
        <v>209</v>
      </c>
      <c r="K49" s="36" t="s">
        <v>95</v>
      </c>
      <c r="L49" s="37" t="n">
        <v>0</v>
      </c>
      <c r="M49" s="33"/>
    </row>
    <row r="50" customFormat="false" ht="23.85" hidden="false" customHeight="false" outlineLevel="0" collapsed="false">
      <c r="A50" s="31" t="s">
        <v>223</v>
      </c>
      <c r="B50" s="43" t="s">
        <v>34</v>
      </c>
      <c r="C50" s="38" t="s">
        <v>152</v>
      </c>
      <c r="D50" s="39" t="s">
        <v>220</v>
      </c>
      <c r="E50" s="39" t="s">
        <v>224</v>
      </c>
      <c r="F50" s="39" t="s">
        <v>222</v>
      </c>
      <c r="G50" s="40" t="n">
        <v>46310</v>
      </c>
      <c r="H50" s="40" t="n">
        <v>46326</v>
      </c>
      <c r="I50" s="38" t="n">
        <f aca="false">H50-G50</f>
        <v>16</v>
      </c>
      <c r="J50" s="35" t="s">
        <v>209</v>
      </c>
      <c r="K50" s="36" t="s">
        <v>95</v>
      </c>
      <c r="L50" s="41" t="n">
        <v>0</v>
      </c>
      <c r="M50" s="39"/>
    </row>
    <row r="51" customFormat="false" ht="23.85" hidden="false" customHeight="false" outlineLevel="0" collapsed="false">
      <c r="A51" s="31" t="s">
        <v>225</v>
      </c>
      <c r="B51" s="43" t="s">
        <v>34</v>
      </c>
      <c r="C51" s="31" t="s">
        <v>152</v>
      </c>
      <c r="D51" s="33" t="s">
        <v>220</v>
      </c>
      <c r="E51" s="33" t="s">
        <v>226</v>
      </c>
      <c r="F51" s="33" t="s">
        <v>222</v>
      </c>
      <c r="G51" s="34" t="n">
        <v>46327</v>
      </c>
      <c r="H51" s="34" t="n">
        <v>46340</v>
      </c>
      <c r="I51" s="31" t="n">
        <f aca="false">H51-G51</f>
        <v>13</v>
      </c>
      <c r="J51" s="35" t="s">
        <v>209</v>
      </c>
      <c r="K51" s="36" t="s">
        <v>95</v>
      </c>
      <c r="L51" s="37" t="n">
        <v>0</v>
      </c>
      <c r="M51" s="33"/>
    </row>
    <row r="52" customFormat="false" ht="19.4" hidden="false" customHeight="false" outlineLevel="0" collapsed="false">
      <c r="A52" s="31" t="s">
        <v>227</v>
      </c>
      <c r="B52" s="43" t="s">
        <v>34</v>
      </c>
      <c r="C52" s="38" t="s">
        <v>159</v>
      </c>
      <c r="D52" s="39" t="s">
        <v>176</v>
      </c>
      <c r="E52" s="39" t="s">
        <v>228</v>
      </c>
      <c r="F52" s="39" t="s">
        <v>208</v>
      </c>
      <c r="G52" s="40" t="n">
        <v>46296</v>
      </c>
      <c r="H52" s="40" t="n">
        <v>46336</v>
      </c>
      <c r="I52" s="38" t="n">
        <f aca="false">H52-G52</f>
        <v>40</v>
      </c>
      <c r="J52" s="35" t="s">
        <v>209</v>
      </c>
      <c r="K52" s="36" t="s">
        <v>95</v>
      </c>
      <c r="L52" s="41" t="n">
        <v>0</v>
      </c>
      <c r="M52" s="39"/>
    </row>
    <row r="53" customFormat="false" ht="19.4" hidden="false" customHeight="false" outlineLevel="0" collapsed="false">
      <c r="A53" s="31" t="s">
        <v>229</v>
      </c>
      <c r="B53" s="43" t="s">
        <v>34</v>
      </c>
      <c r="C53" s="31" t="s">
        <v>159</v>
      </c>
      <c r="D53" s="33" t="s">
        <v>176</v>
      </c>
      <c r="E53" s="33" t="s">
        <v>230</v>
      </c>
      <c r="F53" s="33" t="s">
        <v>208</v>
      </c>
      <c r="G53" s="34" t="n">
        <v>46310</v>
      </c>
      <c r="H53" s="34" t="n">
        <v>46341</v>
      </c>
      <c r="I53" s="31" t="n">
        <f aca="false">H53-G53</f>
        <v>31</v>
      </c>
      <c r="J53" s="35" t="s">
        <v>209</v>
      </c>
      <c r="K53" s="36" t="s">
        <v>95</v>
      </c>
      <c r="L53" s="37" t="n">
        <v>0</v>
      </c>
      <c r="M53" s="33"/>
    </row>
    <row r="54" customFormat="false" ht="19.4" hidden="false" customHeight="false" outlineLevel="0" collapsed="false">
      <c r="A54" s="31" t="s">
        <v>231</v>
      </c>
      <c r="B54" s="43" t="s">
        <v>34</v>
      </c>
      <c r="C54" s="38" t="s">
        <v>159</v>
      </c>
      <c r="D54" s="39" t="s">
        <v>176</v>
      </c>
      <c r="E54" s="39" t="s">
        <v>232</v>
      </c>
      <c r="F54" s="39" t="s">
        <v>233</v>
      </c>
      <c r="G54" s="40" t="n">
        <v>46315</v>
      </c>
      <c r="H54" s="40" t="n">
        <v>46341</v>
      </c>
      <c r="I54" s="38" t="n">
        <f aca="false">H54-G54</f>
        <v>26</v>
      </c>
      <c r="J54" s="35" t="s">
        <v>209</v>
      </c>
      <c r="K54" s="36" t="s">
        <v>95</v>
      </c>
      <c r="L54" s="41" t="n">
        <v>0</v>
      </c>
      <c r="M54" s="39"/>
    </row>
    <row r="55" customFormat="false" ht="19.4" hidden="false" customHeight="false" outlineLevel="0" collapsed="false">
      <c r="A55" s="31" t="s">
        <v>234</v>
      </c>
      <c r="B55" s="43" t="s">
        <v>34</v>
      </c>
      <c r="C55" s="31" t="s">
        <v>152</v>
      </c>
      <c r="D55" s="33" t="s">
        <v>201</v>
      </c>
      <c r="E55" s="33" t="s">
        <v>235</v>
      </c>
      <c r="F55" s="33" t="s">
        <v>236</v>
      </c>
      <c r="G55" s="34" t="n">
        <v>46296</v>
      </c>
      <c r="H55" s="34" t="n">
        <v>46336</v>
      </c>
      <c r="I55" s="31" t="n">
        <f aca="false">H55-G55</f>
        <v>40</v>
      </c>
      <c r="J55" s="35" t="s">
        <v>209</v>
      </c>
      <c r="K55" s="36" t="s">
        <v>95</v>
      </c>
      <c r="L55" s="37" t="n">
        <v>0</v>
      </c>
      <c r="M55" s="33"/>
    </row>
    <row r="56" customFormat="false" ht="19.4" hidden="false" customHeight="false" outlineLevel="0" collapsed="false">
      <c r="A56" s="31" t="s">
        <v>237</v>
      </c>
      <c r="B56" s="43" t="s">
        <v>34</v>
      </c>
      <c r="C56" s="38" t="s">
        <v>152</v>
      </c>
      <c r="D56" s="39" t="s">
        <v>201</v>
      </c>
      <c r="E56" s="39" t="s">
        <v>238</v>
      </c>
      <c r="F56" s="39" t="s">
        <v>239</v>
      </c>
      <c r="G56" s="40" t="n">
        <v>46327</v>
      </c>
      <c r="H56" s="40" t="n">
        <v>46340</v>
      </c>
      <c r="I56" s="38" t="n">
        <f aca="false">H56-G56</f>
        <v>13</v>
      </c>
      <c r="J56" s="35" t="s">
        <v>209</v>
      </c>
      <c r="K56" s="36" t="s">
        <v>95</v>
      </c>
      <c r="L56" s="41" t="n">
        <v>0</v>
      </c>
      <c r="M56" s="39"/>
    </row>
    <row r="57" customFormat="false" ht="19.4" hidden="false" customHeight="false" outlineLevel="0" collapsed="false">
      <c r="A57" s="31" t="s">
        <v>240</v>
      </c>
      <c r="B57" s="42" t="s">
        <v>29</v>
      </c>
      <c r="C57" s="31" t="s">
        <v>138</v>
      </c>
      <c r="D57" s="33" t="s">
        <v>176</v>
      </c>
      <c r="E57" s="33" t="s">
        <v>241</v>
      </c>
      <c r="F57" s="33" t="s">
        <v>242</v>
      </c>
      <c r="G57" s="34" t="n">
        <v>46341</v>
      </c>
      <c r="H57" s="34" t="n">
        <v>46376</v>
      </c>
      <c r="I57" s="31" t="n">
        <f aca="false">H57-G57</f>
        <v>35</v>
      </c>
      <c r="J57" s="35" t="s">
        <v>243</v>
      </c>
      <c r="K57" s="36" t="s">
        <v>95</v>
      </c>
      <c r="L57" s="37" t="n">
        <v>0</v>
      </c>
      <c r="M57" s="33"/>
    </row>
    <row r="58" customFormat="false" ht="19.4" hidden="false" customHeight="false" outlineLevel="0" collapsed="false">
      <c r="A58" s="31" t="s">
        <v>244</v>
      </c>
      <c r="B58" s="42" t="s">
        <v>29</v>
      </c>
      <c r="C58" s="38" t="s">
        <v>138</v>
      </c>
      <c r="D58" s="39" t="s">
        <v>176</v>
      </c>
      <c r="E58" s="39" t="s">
        <v>245</v>
      </c>
      <c r="F58" s="39" t="s">
        <v>242</v>
      </c>
      <c r="G58" s="40" t="n">
        <v>46346</v>
      </c>
      <c r="H58" s="40" t="n">
        <v>46387</v>
      </c>
      <c r="I58" s="38" t="n">
        <f aca="false">H58-G58</f>
        <v>41</v>
      </c>
      <c r="J58" s="35" t="s">
        <v>243</v>
      </c>
      <c r="K58" s="36" t="s">
        <v>95</v>
      </c>
      <c r="L58" s="41" t="n">
        <v>0</v>
      </c>
      <c r="M58" s="39"/>
    </row>
    <row r="59" customFormat="false" ht="19.4" hidden="false" customHeight="false" outlineLevel="0" collapsed="false">
      <c r="A59" s="31" t="s">
        <v>246</v>
      </c>
      <c r="B59" s="42" t="s">
        <v>29</v>
      </c>
      <c r="C59" s="31" t="s">
        <v>138</v>
      </c>
      <c r="D59" s="33" t="s">
        <v>176</v>
      </c>
      <c r="E59" s="33" t="s">
        <v>247</v>
      </c>
      <c r="F59" s="33" t="s">
        <v>242</v>
      </c>
      <c r="G59" s="34" t="n">
        <v>46357</v>
      </c>
      <c r="H59" s="34" t="n">
        <v>46397</v>
      </c>
      <c r="I59" s="31" t="n">
        <f aca="false">H59-G59</f>
        <v>40</v>
      </c>
      <c r="J59" s="35" t="s">
        <v>243</v>
      </c>
      <c r="K59" s="36" t="s">
        <v>95</v>
      </c>
      <c r="L59" s="37" t="n">
        <v>0</v>
      </c>
      <c r="M59" s="33"/>
    </row>
    <row r="60" customFormat="false" ht="19.4" hidden="false" customHeight="false" outlineLevel="0" collapsed="false">
      <c r="A60" s="31" t="s">
        <v>248</v>
      </c>
      <c r="B60" s="42" t="s">
        <v>29</v>
      </c>
      <c r="C60" s="38" t="s">
        <v>142</v>
      </c>
      <c r="D60" s="39" t="s">
        <v>176</v>
      </c>
      <c r="E60" s="39" t="s">
        <v>249</v>
      </c>
      <c r="F60" s="39" t="s">
        <v>242</v>
      </c>
      <c r="G60" s="40" t="n">
        <v>46341</v>
      </c>
      <c r="H60" s="40" t="n">
        <v>46376</v>
      </c>
      <c r="I60" s="38" t="n">
        <f aca="false">H60-G60</f>
        <v>35</v>
      </c>
      <c r="J60" s="35" t="s">
        <v>243</v>
      </c>
      <c r="K60" s="36" t="s">
        <v>95</v>
      </c>
      <c r="L60" s="41" t="n">
        <v>0</v>
      </c>
      <c r="M60" s="39"/>
    </row>
    <row r="61" customFormat="false" ht="19.4" hidden="false" customHeight="false" outlineLevel="0" collapsed="false">
      <c r="A61" s="31" t="s">
        <v>250</v>
      </c>
      <c r="B61" s="42" t="s">
        <v>29</v>
      </c>
      <c r="C61" s="31" t="s">
        <v>142</v>
      </c>
      <c r="D61" s="33" t="s">
        <v>176</v>
      </c>
      <c r="E61" s="33" t="s">
        <v>251</v>
      </c>
      <c r="F61" s="33" t="s">
        <v>242</v>
      </c>
      <c r="G61" s="34" t="n">
        <v>46357</v>
      </c>
      <c r="H61" s="34" t="n">
        <v>46397</v>
      </c>
      <c r="I61" s="31" t="n">
        <f aca="false">H61-G61</f>
        <v>40</v>
      </c>
      <c r="J61" s="35" t="s">
        <v>243</v>
      </c>
      <c r="K61" s="36" t="s">
        <v>95</v>
      </c>
      <c r="L61" s="37" t="n">
        <v>0</v>
      </c>
      <c r="M61" s="33"/>
    </row>
    <row r="62" customFormat="false" ht="19.4" hidden="false" customHeight="false" outlineLevel="0" collapsed="false">
      <c r="A62" s="31" t="s">
        <v>252</v>
      </c>
      <c r="B62" s="42" t="s">
        <v>29</v>
      </c>
      <c r="C62" s="38" t="s">
        <v>145</v>
      </c>
      <c r="D62" s="39" t="s">
        <v>176</v>
      </c>
      <c r="E62" s="39" t="s">
        <v>253</v>
      </c>
      <c r="F62" s="39" t="s">
        <v>254</v>
      </c>
      <c r="G62" s="40" t="n">
        <v>46346</v>
      </c>
      <c r="H62" s="40" t="n">
        <v>46387</v>
      </c>
      <c r="I62" s="38" t="n">
        <f aca="false">H62-G62</f>
        <v>41</v>
      </c>
      <c r="J62" s="35" t="s">
        <v>243</v>
      </c>
      <c r="K62" s="36" t="s">
        <v>95</v>
      </c>
      <c r="L62" s="41" t="n">
        <v>0</v>
      </c>
      <c r="M62" s="39"/>
    </row>
    <row r="63" customFormat="false" ht="19.4" hidden="false" customHeight="false" outlineLevel="0" collapsed="false">
      <c r="A63" s="31" t="s">
        <v>255</v>
      </c>
      <c r="B63" s="42" t="s">
        <v>29</v>
      </c>
      <c r="C63" s="31" t="s">
        <v>145</v>
      </c>
      <c r="D63" s="33" t="s">
        <v>176</v>
      </c>
      <c r="E63" s="33" t="s">
        <v>256</v>
      </c>
      <c r="F63" s="33" t="s">
        <v>254</v>
      </c>
      <c r="G63" s="34" t="n">
        <v>46366</v>
      </c>
      <c r="H63" s="34" t="n">
        <v>46402</v>
      </c>
      <c r="I63" s="31" t="n">
        <f aca="false">H63-G63</f>
        <v>36</v>
      </c>
      <c r="J63" s="35" t="s">
        <v>243</v>
      </c>
      <c r="K63" s="36" t="s">
        <v>95</v>
      </c>
      <c r="L63" s="37" t="n">
        <v>0</v>
      </c>
      <c r="M63" s="33"/>
    </row>
    <row r="64" customFormat="false" ht="19.4" hidden="false" customHeight="false" outlineLevel="0" collapsed="false">
      <c r="A64" s="31" t="s">
        <v>257</v>
      </c>
      <c r="B64" s="42" t="s">
        <v>29</v>
      </c>
      <c r="C64" s="38" t="s">
        <v>148</v>
      </c>
      <c r="D64" s="39" t="s">
        <v>176</v>
      </c>
      <c r="E64" s="39" t="s">
        <v>258</v>
      </c>
      <c r="F64" s="39" t="s">
        <v>254</v>
      </c>
      <c r="G64" s="40" t="n">
        <v>46346</v>
      </c>
      <c r="H64" s="40" t="n">
        <v>46387</v>
      </c>
      <c r="I64" s="38" t="n">
        <f aca="false">H64-G64</f>
        <v>41</v>
      </c>
      <c r="J64" s="35" t="s">
        <v>243</v>
      </c>
      <c r="K64" s="36" t="s">
        <v>95</v>
      </c>
      <c r="L64" s="41" t="n">
        <v>0</v>
      </c>
      <c r="M64" s="39"/>
    </row>
    <row r="65" customFormat="false" ht="19.4" hidden="false" customHeight="false" outlineLevel="0" collapsed="false">
      <c r="A65" s="31" t="s">
        <v>259</v>
      </c>
      <c r="B65" s="42" t="s">
        <v>29</v>
      </c>
      <c r="C65" s="31" t="s">
        <v>148</v>
      </c>
      <c r="D65" s="33" t="s">
        <v>176</v>
      </c>
      <c r="E65" s="33" t="s">
        <v>260</v>
      </c>
      <c r="F65" s="33" t="s">
        <v>254</v>
      </c>
      <c r="G65" s="34" t="n">
        <v>46357</v>
      </c>
      <c r="H65" s="34" t="n">
        <v>46402</v>
      </c>
      <c r="I65" s="31" t="n">
        <f aca="false">H65-G65</f>
        <v>45</v>
      </c>
      <c r="J65" s="35" t="s">
        <v>243</v>
      </c>
      <c r="K65" s="36" t="s">
        <v>95</v>
      </c>
      <c r="L65" s="37" t="n">
        <v>0</v>
      </c>
      <c r="M65" s="33"/>
    </row>
    <row r="66" customFormat="false" ht="19.4" hidden="false" customHeight="false" outlineLevel="0" collapsed="false">
      <c r="A66" s="31" t="s">
        <v>261</v>
      </c>
      <c r="B66" s="42" t="s">
        <v>29</v>
      </c>
      <c r="C66" s="38" t="s">
        <v>262</v>
      </c>
      <c r="D66" s="39" t="s">
        <v>201</v>
      </c>
      <c r="E66" s="39" t="s">
        <v>263</v>
      </c>
      <c r="F66" s="39" t="s">
        <v>205</v>
      </c>
      <c r="G66" s="40" t="n">
        <v>46392</v>
      </c>
      <c r="H66" s="40" t="n">
        <v>46402</v>
      </c>
      <c r="I66" s="38" t="n">
        <f aca="false">H66-G66</f>
        <v>10</v>
      </c>
      <c r="J66" s="35" t="s">
        <v>243</v>
      </c>
      <c r="K66" s="36" t="s">
        <v>95</v>
      </c>
      <c r="L66" s="41" t="n">
        <v>0</v>
      </c>
      <c r="M66" s="39"/>
    </row>
    <row r="67" customFormat="false" ht="19.4" hidden="false" customHeight="false" outlineLevel="0" collapsed="false">
      <c r="A67" s="31" t="s">
        <v>264</v>
      </c>
      <c r="B67" s="42" t="s">
        <v>29</v>
      </c>
      <c r="C67" s="31" t="s">
        <v>262</v>
      </c>
      <c r="D67" s="33" t="s">
        <v>265</v>
      </c>
      <c r="E67" s="33" t="s">
        <v>266</v>
      </c>
      <c r="F67" s="33" t="s">
        <v>267</v>
      </c>
      <c r="G67" s="34" t="n">
        <v>46388</v>
      </c>
      <c r="H67" s="34" t="n">
        <v>46402</v>
      </c>
      <c r="I67" s="31" t="n">
        <f aca="false">H67-G67</f>
        <v>14</v>
      </c>
      <c r="J67" s="35" t="s">
        <v>243</v>
      </c>
      <c r="K67" s="36" t="s">
        <v>95</v>
      </c>
      <c r="L67" s="37" t="n">
        <v>0</v>
      </c>
      <c r="M67" s="33"/>
    </row>
    <row r="68" customFormat="false" ht="19.4" hidden="false" customHeight="false" outlineLevel="0" collapsed="false">
      <c r="A68" s="31" t="s">
        <v>268</v>
      </c>
      <c r="B68" s="44" t="s">
        <v>40</v>
      </c>
      <c r="C68" s="38" t="s">
        <v>41</v>
      </c>
      <c r="D68" s="39" t="s">
        <v>176</v>
      </c>
      <c r="E68" s="39" t="s">
        <v>269</v>
      </c>
      <c r="F68" s="39" t="s">
        <v>270</v>
      </c>
      <c r="G68" s="40" t="n">
        <v>46402</v>
      </c>
      <c r="H68" s="40" t="n">
        <v>46428</v>
      </c>
      <c r="I68" s="38" t="n">
        <f aca="false">H68-G68</f>
        <v>26</v>
      </c>
      <c r="J68" s="35" t="s">
        <v>271</v>
      </c>
      <c r="K68" s="36" t="s">
        <v>95</v>
      </c>
      <c r="L68" s="41" t="n">
        <v>0</v>
      </c>
      <c r="M68" s="39"/>
    </row>
    <row r="69" customFormat="false" ht="19.4" hidden="false" customHeight="false" outlineLevel="0" collapsed="false">
      <c r="A69" s="31" t="s">
        <v>272</v>
      </c>
      <c r="B69" s="44" t="s">
        <v>40</v>
      </c>
      <c r="C69" s="31" t="s">
        <v>41</v>
      </c>
      <c r="D69" s="33" t="s">
        <v>176</v>
      </c>
      <c r="E69" s="33" t="s">
        <v>273</v>
      </c>
      <c r="F69" s="33" t="s">
        <v>270</v>
      </c>
      <c r="G69" s="34" t="n">
        <v>46407</v>
      </c>
      <c r="H69" s="34" t="n">
        <v>46433</v>
      </c>
      <c r="I69" s="31" t="n">
        <f aca="false">H69-G69</f>
        <v>26</v>
      </c>
      <c r="J69" s="35" t="s">
        <v>271</v>
      </c>
      <c r="K69" s="36" t="s">
        <v>95</v>
      </c>
      <c r="L69" s="37" t="n">
        <v>0</v>
      </c>
      <c r="M69" s="33"/>
    </row>
    <row r="70" customFormat="false" ht="19.4" hidden="false" customHeight="false" outlineLevel="0" collapsed="false">
      <c r="A70" s="31" t="s">
        <v>274</v>
      </c>
      <c r="B70" s="44" t="s">
        <v>40</v>
      </c>
      <c r="C70" s="38" t="s">
        <v>41</v>
      </c>
      <c r="D70" s="39" t="s">
        <v>176</v>
      </c>
      <c r="E70" s="39" t="s">
        <v>275</v>
      </c>
      <c r="F70" s="39" t="s">
        <v>270</v>
      </c>
      <c r="G70" s="40" t="n">
        <v>46412</v>
      </c>
      <c r="H70" s="40" t="n">
        <v>46433</v>
      </c>
      <c r="I70" s="38" t="n">
        <f aca="false">H70-G70</f>
        <v>21</v>
      </c>
      <c r="J70" s="35" t="s">
        <v>271</v>
      </c>
      <c r="K70" s="36" t="s">
        <v>95</v>
      </c>
      <c r="L70" s="41" t="n">
        <v>0</v>
      </c>
      <c r="M70" s="39"/>
    </row>
    <row r="71" customFormat="false" ht="19.4" hidden="false" customHeight="false" outlineLevel="0" collapsed="false">
      <c r="A71" s="31" t="s">
        <v>276</v>
      </c>
      <c r="B71" s="45" t="s">
        <v>45</v>
      </c>
      <c r="C71" s="31" t="s">
        <v>46</v>
      </c>
      <c r="D71" s="33" t="s">
        <v>176</v>
      </c>
      <c r="E71" s="33" t="s">
        <v>277</v>
      </c>
      <c r="F71" s="33" t="s">
        <v>278</v>
      </c>
      <c r="G71" s="34" t="n">
        <v>46402</v>
      </c>
      <c r="H71" s="34" t="n">
        <v>46428</v>
      </c>
      <c r="I71" s="31" t="n">
        <f aca="false">H71-G71</f>
        <v>26</v>
      </c>
      <c r="J71" s="35" t="s">
        <v>271</v>
      </c>
      <c r="K71" s="36" t="s">
        <v>95</v>
      </c>
      <c r="L71" s="37" t="n">
        <v>0</v>
      </c>
      <c r="M71" s="33"/>
    </row>
    <row r="72" customFormat="false" ht="19.4" hidden="false" customHeight="false" outlineLevel="0" collapsed="false">
      <c r="A72" s="31" t="s">
        <v>279</v>
      </c>
      <c r="B72" s="45" t="s">
        <v>45</v>
      </c>
      <c r="C72" s="38" t="s">
        <v>46</v>
      </c>
      <c r="D72" s="39" t="s">
        <v>176</v>
      </c>
      <c r="E72" s="39" t="s">
        <v>280</v>
      </c>
      <c r="F72" s="39" t="s">
        <v>278</v>
      </c>
      <c r="G72" s="40" t="n">
        <v>46407</v>
      </c>
      <c r="H72" s="40" t="n">
        <v>46433</v>
      </c>
      <c r="I72" s="38" t="n">
        <f aca="false">H72-G72</f>
        <v>26</v>
      </c>
      <c r="J72" s="35" t="s">
        <v>271</v>
      </c>
      <c r="K72" s="36" t="s">
        <v>95</v>
      </c>
      <c r="L72" s="41" t="n">
        <v>0</v>
      </c>
      <c r="M72" s="39"/>
    </row>
    <row r="73" customFormat="false" ht="19.4" hidden="false" customHeight="false" outlineLevel="0" collapsed="false">
      <c r="A73" s="31" t="s">
        <v>281</v>
      </c>
      <c r="B73" s="45" t="s">
        <v>45</v>
      </c>
      <c r="C73" s="31" t="s">
        <v>46</v>
      </c>
      <c r="D73" s="33" t="s">
        <v>176</v>
      </c>
      <c r="E73" s="33" t="s">
        <v>282</v>
      </c>
      <c r="F73" s="33" t="s">
        <v>278</v>
      </c>
      <c r="G73" s="34" t="n">
        <v>46412</v>
      </c>
      <c r="H73" s="34" t="n">
        <v>46433</v>
      </c>
      <c r="I73" s="31" t="n">
        <f aca="false">H73-G73</f>
        <v>21</v>
      </c>
      <c r="J73" s="35" t="s">
        <v>271</v>
      </c>
      <c r="K73" s="36" t="s">
        <v>95</v>
      </c>
      <c r="L73" s="37" t="n">
        <v>0</v>
      </c>
      <c r="M73" s="33"/>
    </row>
    <row r="74" customFormat="false" ht="19.4" hidden="false" customHeight="false" outlineLevel="0" collapsed="false">
      <c r="A74" s="31" t="s">
        <v>283</v>
      </c>
      <c r="B74" s="45" t="s">
        <v>45</v>
      </c>
      <c r="C74" s="38" t="s">
        <v>46</v>
      </c>
      <c r="D74" s="39" t="s">
        <v>176</v>
      </c>
      <c r="E74" s="39" t="s">
        <v>284</v>
      </c>
      <c r="F74" s="39" t="s">
        <v>278</v>
      </c>
      <c r="G74" s="40" t="n">
        <v>46419</v>
      </c>
      <c r="H74" s="40" t="n">
        <v>46433</v>
      </c>
      <c r="I74" s="38" t="n">
        <f aca="false">H74-G74</f>
        <v>14</v>
      </c>
      <c r="J74" s="35" t="s">
        <v>271</v>
      </c>
      <c r="K74" s="36" t="s">
        <v>95</v>
      </c>
      <c r="L74" s="41" t="n">
        <v>0</v>
      </c>
      <c r="M74" s="39"/>
    </row>
    <row r="75" customFormat="false" ht="19.4" hidden="false" customHeight="false" outlineLevel="0" collapsed="false">
      <c r="A75" s="31" t="s">
        <v>285</v>
      </c>
      <c r="B75" s="44" t="s">
        <v>40</v>
      </c>
      <c r="C75" s="31" t="s">
        <v>41</v>
      </c>
      <c r="D75" s="33" t="s">
        <v>201</v>
      </c>
      <c r="E75" s="33" t="s">
        <v>286</v>
      </c>
      <c r="F75" s="33" t="s">
        <v>201</v>
      </c>
      <c r="G75" s="34" t="n">
        <v>46423</v>
      </c>
      <c r="H75" s="34" t="n">
        <v>46433</v>
      </c>
      <c r="I75" s="31" t="n">
        <f aca="false">H75-G75</f>
        <v>10</v>
      </c>
      <c r="J75" s="35" t="s">
        <v>271</v>
      </c>
      <c r="K75" s="36" t="s">
        <v>95</v>
      </c>
      <c r="L75" s="37" t="n">
        <v>0</v>
      </c>
      <c r="M75" s="33"/>
    </row>
    <row r="76" customFormat="false" ht="19.4" hidden="false" customHeight="false" outlineLevel="0" collapsed="false">
      <c r="A76" s="31" t="s">
        <v>287</v>
      </c>
      <c r="B76" s="45" t="s">
        <v>45</v>
      </c>
      <c r="C76" s="38" t="s">
        <v>46</v>
      </c>
      <c r="D76" s="39" t="s">
        <v>201</v>
      </c>
      <c r="E76" s="39" t="s">
        <v>288</v>
      </c>
      <c r="F76" s="39" t="s">
        <v>201</v>
      </c>
      <c r="G76" s="40" t="n">
        <v>46423</v>
      </c>
      <c r="H76" s="40" t="n">
        <v>46433</v>
      </c>
      <c r="I76" s="38" t="n">
        <f aca="false">H76-G76</f>
        <v>10</v>
      </c>
      <c r="J76" s="35" t="s">
        <v>271</v>
      </c>
      <c r="K76" s="36" t="s">
        <v>95</v>
      </c>
      <c r="L76" s="41" t="n">
        <v>0</v>
      </c>
      <c r="M76" s="39"/>
    </row>
    <row r="77" customFormat="false" ht="23.85" hidden="false" customHeight="false" outlineLevel="0" collapsed="false">
      <c r="A77" s="31" t="s">
        <v>289</v>
      </c>
      <c r="B77" s="32" t="s">
        <v>5</v>
      </c>
      <c r="C77" s="31" t="s">
        <v>170</v>
      </c>
      <c r="D77" s="33" t="s">
        <v>290</v>
      </c>
      <c r="E77" s="33" t="s">
        <v>291</v>
      </c>
      <c r="F77" s="33" t="s">
        <v>292</v>
      </c>
      <c r="G77" s="34" t="n">
        <v>46433</v>
      </c>
      <c r="H77" s="34" t="n">
        <v>46451</v>
      </c>
      <c r="I77" s="31" t="n">
        <f aca="false">H77-G77</f>
        <v>18</v>
      </c>
      <c r="J77" s="35" t="s">
        <v>293</v>
      </c>
      <c r="K77" s="36" t="s">
        <v>95</v>
      </c>
      <c r="L77" s="37" t="n">
        <v>0</v>
      </c>
      <c r="M77" s="33"/>
    </row>
    <row r="78" customFormat="false" ht="19.4" hidden="false" customHeight="false" outlineLevel="0" collapsed="false">
      <c r="A78" s="31" t="s">
        <v>294</v>
      </c>
      <c r="B78" s="32" t="s">
        <v>5</v>
      </c>
      <c r="C78" s="38" t="s">
        <v>170</v>
      </c>
      <c r="D78" s="39" t="s">
        <v>132</v>
      </c>
      <c r="E78" s="39" t="s">
        <v>295</v>
      </c>
      <c r="F78" s="39" t="s">
        <v>296</v>
      </c>
      <c r="G78" s="40" t="n">
        <v>46433</v>
      </c>
      <c r="H78" s="40" t="n">
        <v>46451</v>
      </c>
      <c r="I78" s="38" t="n">
        <f aca="false">H78-G78</f>
        <v>18</v>
      </c>
      <c r="J78" s="35" t="s">
        <v>293</v>
      </c>
      <c r="K78" s="36" t="s">
        <v>95</v>
      </c>
      <c r="L78" s="41" t="n">
        <v>0</v>
      </c>
      <c r="M78" s="39" t="s">
        <v>297</v>
      </c>
    </row>
    <row r="79" customFormat="false" ht="19.4" hidden="false" customHeight="false" outlineLevel="0" collapsed="false">
      <c r="A79" s="31" t="s">
        <v>298</v>
      </c>
      <c r="B79" s="32" t="s">
        <v>5</v>
      </c>
      <c r="C79" s="31" t="s">
        <v>170</v>
      </c>
      <c r="D79" s="33" t="s">
        <v>132</v>
      </c>
      <c r="E79" s="33" t="s">
        <v>299</v>
      </c>
      <c r="F79" s="33" t="s">
        <v>136</v>
      </c>
      <c r="G79" s="34" t="n">
        <v>46433</v>
      </c>
      <c r="H79" s="34" t="n">
        <v>46446</v>
      </c>
      <c r="I79" s="31" t="n">
        <f aca="false">H79-G79</f>
        <v>13</v>
      </c>
      <c r="J79" s="35" t="s">
        <v>293</v>
      </c>
      <c r="K79" s="36" t="s">
        <v>95</v>
      </c>
      <c r="L79" s="37" t="n">
        <v>0</v>
      </c>
      <c r="M79" s="33"/>
    </row>
    <row r="80" customFormat="false" ht="19.4" hidden="false" customHeight="false" outlineLevel="0" collapsed="false">
      <c r="A80" s="31" t="s">
        <v>300</v>
      </c>
      <c r="B80" s="32" t="s">
        <v>5</v>
      </c>
      <c r="C80" s="38" t="s">
        <v>170</v>
      </c>
      <c r="D80" s="39" t="s">
        <v>301</v>
      </c>
      <c r="E80" s="39" t="s">
        <v>302</v>
      </c>
      <c r="F80" s="39" t="s">
        <v>178</v>
      </c>
      <c r="G80" s="40" t="n">
        <v>46438</v>
      </c>
      <c r="H80" s="40" t="n">
        <v>46451</v>
      </c>
      <c r="I80" s="38" t="n">
        <f aca="false">H80-G80</f>
        <v>13</v>
      </c>
      <c r="J80" s="35" t="s">
        <v>293</v>
      </c>
      <c r="K80" s="36" t="s">
        <v>95</v>
      </c>
      <c r="L80" s="41" t="n">
        <v>0</v>
      </c>
      <c r="M80" s="39"/>
    </row>
    <row r="81" customFormat="false" ht="19.4" hidden="false" customHeight="false" outlineLevel="0" collapsed="false">
      <c r="A81" s="31" t="s">
        <v>303</v>
      </c>
      <c r="B81" s="32" t="s">
        <v>5</v>
      </c>
      <c r="C81" s="31" t="s">
        <v>123</v>
      </c>
      <c r="D81" s="33" t="s">
        <v>195</v>
      </c>
      <c r="E81" s="33" t="s">
        <v>304</v>
      </c>
      <c r="F81" s="33" t="s">
        <v>197</v>
      </c>
      <c r="G81" s="34" t="n">
        <v>46433</v>
      </c>
      <c r="H81" s="34" t="n">
        <v>46443</v>
      </c>
      <c r="I81" s="31" t="n">
        <f aca="false">H81-G81</f>
        <v>10</v>
      </c>
      <c r="J81" s="35" t="s">
        <v>293</v>
      </c>
      <c r="K81" s="36" t="s">
        <v>95</v>
      </c>
      <c r="L81" s="37" t="n">
        <v>0</v>
      </c>
      <c r="M81" s="33"/>
    </row>
    <row r="82" customFormat="false" ht="19.4" hidden="false" customHeight="false" outlineLevel="0" collapsed="false">
      <c r="A82" s="31" t="s">
        <v>305</v>
      </c>
      <c r="B82" s="32" t="s">
        <v>5</v>
      </c>
      <c r="C82" s="38" t="s">
        <v>170</v>
      </c>
      <c r="D82" s="39" t="s">
        <v>306</v>
      </c>
      <c r="E82" s="39" t="s">
        <v>307</v>
      </c>
      <c r="F82" s="39" t="s">
        <v>101</v>
      </c>
      <c r="G82" s="40" t="n">
        <v>46438</v>
      </c>
      <c r="H82" s="40" t="n">
        <v>46451</v>
      </c>
      <c r="I82" s="38" t="n">
        <f aca="false">H82-G82</f>
        <v>13</v>
      </c>
      <c r="J82" s="35" t="s">
        <v>293</v>
      </c>
      <c r="K82" s="36" t="s">
        <v>95</v>
      </c>
      <c r="L82" s="41" t="n">
        <v>0</v>
      </c>
      <c r="M82" s="39"/>
    </row>
    <row r="83" customFormat="false" ht="19.4" hidden="false" customHeight="false" outlineLevel="0" collapsed="false">
      <c r="A83" s="31" t="s">
        <v>308</v>
      </c>
      <c r="B83" s="32" t="s">
        <v>5</v>
      </c>
      <c r="C83" s="31" t="s">
        <v>170</v>
      </c>
      <c r="D83" s="33" t="s">
        <v>265</v>
      </c>
      <c r="E83" s="33" t="s">
        <v>309</v>
      </c>
      <c r="F83" s="33" t="s">
        <v>267</v>
      </c>
      <c r="G83" s="34" t="n">
        <v>46433</v>
      </c>
      <c r="H83" s="34" t="n">
        <v>46451</v>
      </c>
      <c r="I83" s="31" t="n">
        <f aca="false">H83-G83</f>
        <v>18</v>
      </c>
      <c r="J83" s="35" t="s">
        <v>293</v>
      </c>
      <c r="K83" s="36" t="s">
        <v>95</v>
      </c>
      <c r="L83" s="37" t="n">
        <v>0</v>
      </c>
      <c r="M83" s="33"/>
    </row>
    <row r="84" customFormat="false" ht="19.4" hidden="false" customHeight="false" outlineLevel="0" collapsed="false">
      <c r="A84" s="31" t="s">
        <v>310</v>
      </c>
      <c r="B84" s="32" t="s">
        <v>5</v>
      </c>
      <c r="C84" s="38" t="s">
        <v>170</v>
      </c>
      <c r="D84" s="39" t="s">
        <v>265</v>
      </c>
      <c r="E84" s="39" t="s">
        <v>311</v>
      </c>
      <c r="F84" s="39" t="s">
        <v>267</v>
      </c>
      <c r="G84" s="40" t="n">
        <v>46438</v>
      </c>
      <c r="H84" s="40" t="n">
        <v>46456</v>
      </c>
      <c r="I84" s="38" t="n">
        <f aca="false">H84-G84</f>
        <v>18</v>
      </c>
      <c r="J84" s="35" t="s">
        <v>293</v>
      </c>
      <c r="K84" s="36" t="s">
        <v>95</v>
      </c>
      <c r="L84" s="41" t="n">
        <v>0</v>
      </c>
      <c r="M84" s="39"/>
    </row>
    <row r="85" customFormat="false" ht="19.4" hidden="false" customHeight="false" outlineLevel="0" collapsed="false">
      <c r="A85" s="31" t="s">
        <v>312</v>
      </c>
      <c r="B85" s="32" t="s">
        <v>5</v>
      </c>
      <c r="C85" s="31" t="s">
        <v>170</v>
      </c>
      <c r="D85" s="33" t="s">
        <v>87</v>
      </c>
      <c r="E85" s="33" t="s">
        <v>313</v>
      </c>
      <c r="F85" s="33" t="s">
        <v>314</v>
      </c>
      <c r="G85" s="34" t="n">
        <v>46456</v>
      </c>
      <c r="H85" s="34" t="n">
        <v>46456</v>
      </c>
      <c r="I85" s="31" t="n">
        <f aca="false">H85-G85</f>
        <v>0</v>
      </c>
      <c r="J85" s="35" t="s">
        <v>293</v>
      </c>
      <c r="K85" s="36" t="s">
        <v>95</v>
      </c>
      <c r="L85" s="37" t="n">
        <v>0</v>
      </c>
      <c r="M85" s="33"/>
    </row>
    <row r="86" customFormat="false" ht="19.4" hidden="false" customHeight="false" outlineLevel="0" collapsed="false">
      <c r="A86" s="31" t="s">
        <v>315</v>
      </c>
      <c r="B86" s="32" t="s">
        <v>5</v>
      </c>
      <c r="C86" s="38" t="s">
        <v>170</v>
      </c>
      <c r="D86" s="39" t="s">
        <v>306</v>
      </c>
      <c r="E86" s="39" t="s">
        <v>316</v>
      </c>
      <c r="F86" s="39" t="s">
        <v>317</v>
      </c>
      <c r="G86" s="40" t="n">
        <v>46459</v>
      </c>
      <c r="H86" s="40" t="n">
        <v>46460</v>
      </c>
      <c r="I86" s="38" t="n">
        <f aca="false">H86-G86</f>
        <v>1</v>
      </c>
      <c r="J86" s="35" t="s">
        <v>318</v>
      </c>
      <c r="K86" s="36" t="s">
        <v>95</v>
      </c>
      <c r="L86" s="41" t="n">
        <v>0</v>
      </c>
      <c r="M86" s="39"/>
    </row>
    <row r="87" customFormat="false" ht="19.4" hidden="false" customHeight="false" outlineLevel="0" collapsed="false">
      <c r="A87" s="31" t="s">
        <v>319</v>
      </c>
      <c r="B87" s="32" t="s">
        <v>5</v>
      </c>
      <c r="C87" s="31" t="s">
        <v>170</v>
      </c>
      <c r="D87" s="33" t="s">
        <v>320</v>
      </c>
      <c r="E87" s="33" t="s">
        <v>321</v>
      </c>
      <c r="F87" s="33" t="s">
        <v>317</v>
      </c>
      <c r="G87" s="34" t="n">
        <v>46460</v>
      </c>
      <c r="H87" s="34" t="n">
        <v>46490</v>
      </c>
      <c r="I87" s="31" t="n">
        <f aca="false">H87-G87</f>
        <v>30</v>
      </c>
      <c r="J87" s="35" t="s">
        <v>318</v>
      </c>
      <c r="K87" s="36" t="s">
        <v>95</v>
      </c>
      <c r="L87" s="37" t="n">
        <v>0</v>
      </c>
      <c r="M87" s="33"/>
    </row>
    <row r="88" customFormat="false" ht="19.4" hidden="false" customHeight="false" outlineLevel="0" collapsed="false">
      <c r="A88" s="31" t="s">
        <v>322</v>
      </c>
      <c r="B88" s="32" t="s">
        <v>5</v>
      </c>
      <c r="C88" s="38" t="s">
        <v>170</v>
      </c>
      <c r="D88" s="39" t="s">
        <v>323</v>
      </c>
      <c r="E88" s="39" t="s">
        <v>324</v>
      </c>
      <c r="F88" s="39" t="s">
        <v>178</v>
      </c>
      <c r="G88" s="40" t="n">
        <v>46490</v>
      </c>
      <c r="H88" s="40" t="n">
        <v>46520</v>
      </c>
      <c r="I88" s="38" t="n">
        <f aca="false">H88-G88</f>
        <v>30</v>
      </c>
      <c r="J88" s="35" t="s">
        <v>318</v>
      </c>
      <c r="K88" s="36" t="s">
        <v>95</v>
      </c>
      <c r="L88" s="41" t="n">
        <v>0</v>
      </c>
      <c r="M88" s="39"/>
    </row>
    <row r="89" customFormat="false" ht="19.4" hidden="false" customHeight="false" outlineLevel="0" collapsed="false">
      <c r="A89" s="31" t="s">
        <v>325</v>
      </c>
      <c r="B89" s="32" t="s">
        <v>5</v>
      </c>
      <c r="C89" s="31" t="s">
        <v>170</v>
      </c>
      <c r="D89" s="33" t="s">
        <v>326</v>
      </c>
      <c r="E89" s="33" t="s">
        <v>327</v>
      </c>
      <c r="F89" s="33" t="s">
        <v>94</v>
      </c>
      <c r="G89" s="34" t="n">
        <v>46492</v>
      </c>
      <c r="H89" s="34" t="n">
        <v>46507</v>
      </c>
      <c r="I89" s="31" t="n">
        <f aca="false">H89-G89</f>
        <v>15</v>
      </c>
      <c r="J89" s="35" t="s">
        <v>318</v>
      </c>
      <c r="K89" s="36" t="s">
        <v>95</v>
      </c>
      <c r="L89" s="37" t="n">
        <v>0</v>
      </c>
      <c r="M89" s="33"/>
    </row>
    <row r="90" customFormat="false" ht="19.4" hidden="false" customHeight="false" outlineLevel="0" collapsed="false">
      <c r="A90" s="31" t="s">
        <v>328</v>
      </c>
      <c r="B90" s="32" t="s">
        <v>5</v>
      </c>
      <c r="C90" s="38" t="s">
        <v>170</v>
      </c>
      <c r="D90" s="39" t="s">
        <v>326</v>
      </c>
      <c r="E90" s="39" t="s">
        <v>329</v>
      </c>
      <c r="F90" s="39" t="s">
        <v>330</v>
      </c>
      <c r="G90" s="40" t="n">
        <v>46508</v>
      </c>
      <c r="H90" s="40" t="n">
        <v>46522</v>
      </c>
      <c r="I90" s="38" t="n">
        <f aca="false">H90-G90</f>
        <v>14</v>
      </c>
      <c r="J90" s="35" t="s">
        <v>318</v>
      </c>
      <c r="K90" s="36" t="s">
        <v>95</v>
      </c>
      <c r="L90" s="41" t="n">
        <v>0</v>
      </c>
      <c r="M90" s="39"/>
    </row>
    <row r="92" customFormat="false" ht="15" hidden="false" customHeight="false" outlineLevel="0" collapsed="false">
      <c r="A92" s="12" t="s">
        <v>331</v>
      </c>
      <c r="D92" s="46" t="s">
        <v>332</v>
      </c>
      <c r="E92" s="47" t="n">
        <f aca="false">COUNTA(A5:A90)</f>
        <v>86</v>
      </c>
    </row>
    <row r="93" customFormat="false" ht="15" hidden="false" customHeight="false" outlineLevel="0" collapsed="false">
      <c r="D93" s="46" t="s">
        <v>333</v>
      </c>
      <c r="E93" s="48" t="n">
        <f aca="false">ROUND(AVERAGE(I5:I90),1)</f>
        <v>26.7</v>
      </c>
    </row>
    <row r="94" customFormat="false" ht="15" hidden="false" customHeight="false" outlineLevel="0" collapsed="false">
      <c r="D94" s="46" t="s">
        <v>334</v>
      </c>
      <c r="E94" s="47" t="n">
        <f aca="false">SUM(I5:I90)</f>
        <v>2294</v>
      </c>
    </row>
    <row r="95" customFormat="false" ht="15" hidden="false" customHeight="false" outlineLevel="0" collapsed="false">
      <c r="D95" s="46" t="s">
        <v>335</v>
      </c>
      <c r="E95" s="49" t="n">
        <f aca="false">ROUND(AVERAGE(L5:L90),3)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4.45" hidden="false" customHeight="false" outlineLevel="0" collapsed="false">
      <c r="A1" s="1" t="s">
        <v>336</v>
      </c>
      <c r="G1" s="2" t="s">
        <v>1</v>
      </c>
    </row>
    <row r="2" customFormat="false" ht="15" hidden="false" customHeight="false" outlineLevel="0" collapsed="false">
      <c r="A2" s="3" t="s">
        <v>337</v>
      </c>
      <c r="G2" s="4" t="s">
        <v>3</v>
      </c>
    </row>
    <row r="4" customFormat="false" ht="15" hidden="false" customHeight="false" outlineLevel="0" collapsed="false">
      <c r="A4" s="13" t="s">
        <v>87</v>
      </c>
      <c r="B4" s="13" t="s">
        <v>338</v>
      </c>
      <c r="C4" s="13" t="s">
        <v>339</v>
      </c>
      <c r="D4" s="13" t="s">
        <v>340</v>
      </c>
      <c r="E4" s="13" t="s">
        <v>52</v>
      </c>
      <c r="F4" s="13" t="s">
        <v>341</v>
      </c>
      <c r="G4" s="13" t="s">
        <v>21</v>
      </c>
      <c r="H4" s="13" t="s">
        <v>88</v>
      </c>
    </row>
    <row r="5" customFormat="false" ht="23.85" hidden="false" customHeight="false" outlineLevel="0" collapsed="false">
      <c r="A5" s="13" t="s">
        <v>91</v>
      </c>
      <c r="B5" s="50" t="s">
        <v>342</v>
      </c>
      <c r="C5" s="16" t="s">
        <v>343</v>
      </c>
      <c r="D5" s="16" t="s">
        <v>344</v>
      </c>
      <c r="E5" s="16" t="s">
        <v>10</v>
      </c>
      <c r="F5" s="15" t="s">
        <v>345</v>
      </c>
      <c r="G5" s="45" t="s">
        <v>346</v>
      </c>
      <c r="H5" s="18" t="n">
        <v>0.35</v>
      </c>
    </row>
    <row r="6" customFormat="false" ht="23.85" hidden="false" customHeight="false" outlineLevel="0" collapsed="false">
      <c r="A6" s="51" t="s">
        <v>126</v>
      </c>
      <c r="B6" s="50" t="s">
        <v>347</v>
      </c>
      <c r="C6" s="16" t="s">
        <v>348</v>
      </c>
      <c r="D6" s="16" t="s">
        <v>349</v>
      </c>
      <c r="E6" s="16" t="s">
        <v>350</v>
      </c>
      <c r="F6" s="15" t="s">
        <v>351</v>
      </c>
      <c r="G6" s="36" t="s">
        <v>95</v>
      </c>
      <c r="H6" s="18" t="n">
        <v>0</v>
      </c>
    </row>
    <row r="7" customFormat="false" ht="23.85" hidden="false" customHeight="false" outlineLevel="0" collapsed="false">
      <c r="A7" s="52" t="s">
        <v>179</v>
      </c>
      <c r="B7" s="50" t="s">
        <v>5</v>
      </c>
      <c r="C7" s="16" t="s">
        <v>352</v>
      </c>
      <c r="D7" s="16" t="s">
        <v>349</v>
      </c>
      <c r="E7" s="16" t="s">
        <v>11</v>
      </c>
      <c r="F7" s="15" t="s">
        <v>353</v>
      </c>
      <c r="G7" s="36" t="s">
        <v>95</v>
      </c>
      <c r="H7" s="18" t="n">
        <v>0</v>
      </c>
    </row>
    <row r="8" customFormat="false" ht="35.05" hidden="false" customHeight="false" outlineLevel="0" collapsed="false">
      <c r="A8" s="53" t="s">
        <v>209</v>
      </c>
      <c r="B8" s="50" t="s">
        <v>34</v>
      </c>
      <c r="C8" s="16" t="s">
        <v>354</v>
      </c>
      <c r="D8" s="16" t="s">
        <v>349</v>
      </c>
      <c r="E8" s="16" t="s">
        <v>12</v>
      </c>
      <c r="F8" s="15" t="s">
        <v>355</v>
      </c>
      <c r="G8" s="36" t="s">
        <v>95</v>
      </c>
      <c r="H8" s="18" t="n">
        <v>0</v>
      </c>
    </row>
    <row r="9" customFormat="false" ht="23.85" hidden="false" customHeight="false" outlineLevel="0" collapsed="false">
      <c r="A9" s="54" t="s">
        <v>243</v>
      </c>
      <c r="B9" s="50" t="s">
        <v>29</v>
      </c>
      <c r="C9" s="16" t="s">
        <v>356</v>
      </c>
      <c r="D9" s="16" t="s">
        <v>349</v>
      </c>
      <c r="E9" s="16" t="s">
        <v>13</v>
      </c>
      <c r="F9" s="15" t="s">
        <v>357</v>
      </c>
      <c r="G9" s="36" t="s">
        <v>95</v>
      </c>
      <c r="H9" s="18" t="n">
        <v>0</v>
      </c>
    </row>
    <row r="10" customFormat="false" ht="23.85" hidden="false" customHeight="false" outlineLevel="0" collapsed="false">
      <c r="A10" s="21" t="s">
        <v>271</v>
      </c>
      <c r="B10" s="50" t="s">
        <v>358</v>
      </c>
      <c r="C10" s="16" t="s">
        <v>359</v>
      </c>
      <c r="D10" s="16" t="s">
        <v>344</v>
      </c>
      <c r="E10" s="16" t="s">
        <v>360</v>
      </c>
      <c r="F10" s="15" t="s">
        <v>361</v>
      </c>
      <c r="G10" s="36" t="s">
        <v>95</v>
      </c>
      <c r="H10" s="18" t="n">
        <v>0</v>
      </c>
    </row>
    <row r="11" customFormat="false" ht="23.85" hidden="false" customHeight="false" outlineLevel="0" collapsed="false">
      <c r="A11" s="55" t="s">
        <v>293</v>
      </c>
      <c r="B11" s="50" t="s">
        <v>362</v>
      </c>
      <c r="C11" s="16" t="s">
        <v>363</v>
      </c>
      <c r="D11" s="16" t="s">
        <v>364</v>
      </c>
      <c r="E11" s="16" t="s">
        <v>14</v>
      </c>
      <c r="F11" s="15" t="s">
        <v>365</v>
      </c>
      <c r="G11" s="36" t="s">
        <v>95</v>
      </c>
      <c r="H11" s="18" t="n">
        <v>0</v>
      </c>
    </row>
    <row r="12" customFormat="false" ht="23.85" hidden="false" customHeight="false" outlineLevel="0" collapsed="false">
      <c r="A12" s="17" t="s">
        <v>318</v>
      </c>
      <c r="B12" s="50" t="s">
        <v>9</v>
      </c>
      <c r="C12" s="16" t="s">
        <v>15</v>
      </c>
      <c r="D12" s="16" t="s">
        <v>366</v>
      </c>
      <c r="E12" s="16" t="s">
        <v>15</v>
      </c>
      <c r="F12" s="15" t="s">
        <v>367</v>
      </c>
      <c r="G12" s="36" t="s">
        <v>95</v>
      </c>
      <c r="H12" s="18" t="n">
        <v>0</v>
      </c>
    </row>
  </sheetData>
  <conditionalFormatting sqref="H5:H12">
    <cfRule type="cellIs" priority="2" operator="greaterThanOrEqual" aboveAverage="0" equalAverage="0" bottom="0" percent="0" rank="0" text="" dxfId="0">
      <formula>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8" min="8" style="0" width="8"/>
  </cols>
  <sheetData>
    <row r="1" customFormat="false" ht="24.45" hidden="false" customHeight="false" outlineLevel="0" collapsed="false">
      <c r="A1" s="1" t="s">
        <v>368</v>
      </c>
      <c r="G1" s="2" t="s">
        <v>1</v>
      </c>
    </row>
    <row r="2" customFormat="false" ht="15" hidden="false" customHeight="false" outlineLevel="0" collapsed="false">
      <c r="A2" s="3" t="s">
        <v>369</v>
      </c>
      <c r="G2" s="4" t="s">
        <v>3</v>
      </c>
    </row>
    <row r="4" customFormat="false" ht="15" hidden="false" customHeight="false" outlineLevel="0" collapsed="false">
      <c r="A4" s="13" t="s">
        <v>370</v>
      </c>
      <c r="B4" s="13" t="s">
        <v>371</v>
      </c>
      <c r="C4" s="13" t="s">
        <v>372</v>
      </c>
      <c r="D4" s="13" t="s">
        <v>73</v>
      </c>
      <c r="E4" s="13" t="s">
        <v>107</v>
      </c>
      <c r="F4" s="13" t="s">
        <v>36</v>
      </c>
      <c r="G4" s="13" t="s">
        <v>62</v>
      </c>
      <c r="H4" s="13" t="s">
        <v>373</v>
      </c>
    </row>
    <row r="5" customFormat="false" ht="15" hidden="false" customHeight="false" outlineLevel="0" collapsed="false">
      <c r="A5" s="56" t="s">
        <v>374</v>
      </c>
      <c r="B5" s="57" t="s">
        <v>375</v>
      </c>
      <c r="C5" s="52" t="s">
        <v>376</v>
      </c>
      <c r="D5" s="52" t="s">
        <v>376</v>
      </c>
      <c r="E5" s="21" t="s">
        <v>377</v>
      </c>
      <c r="F5" s="21" t="s">
        <v>377</v>
      </c>
      <c r="G5" s="21" t="s">
        <v>377</v>
      </c>
      <c r="H5" s="58" t="s">
        <v>378</v>
      </c>
    </row>
    <row r="6" customFormat="false" ht="15" hidden="false" customHeight="false" outlineLevel="0" collapsed="false">
      <c r="A6" s="59" t="s">
        <v>195</v>
      </c>
      <c r="B6" s="58" t="s">
        <v>378</v>
      </c>
      <c r="C6" s="58" t="s">
        <v>378</v>
      </c>
      <c r="D6" s="57" t="s">
        <v>375</v>
      </c>
      <c r="E6" s="52" t="s">
        <v>376</v>
      </c>
      <c r="F6" s="21" t="s">
        <v>377</v>
      </c>
      <c r="G6" s="21" t="s">
        <v>377</v>
      </c>
      <c r="H6" s="21" t="s">
        <v>377</v>
      </c>
    </row>
    <row r="7" customFormat="false" ht="15" hidden="false" customHeight="false" outlineLevel="0" collapsed="false">
      <c r="A7" s="56" t="s">
        <v>379</v>
      </c>
      <c r="B7" s="58" t="s">
        <v>378</v>
      </c>
      <c r="C7" s="57" t="s">
        <v>375</v>
      </c>
      <c r="D7" s="57" t="s">
        <v>375</v>
      </c>
      <c r="E7" s="21" t="s">
        <v>377</v>
      </c>
      <c r="F7" s="52" t="s">
        <v>376</v>
      </c>
      <c r="G7" s="58" t="s">
        <v>378</v>
      </c>
      <c r="H7" s="52" t="s">
        <v>376</v>
      </c>
    </row>
    <row r="8" customFormat="false" ht="15" hidden="false" customHeight="false" outlineLevel="0" collapsed="false">
      <c r="A8" s="59" t="s">
        <v>380</v>
      </c>
      <c r="B8" s="58" t="s">
        <v>378</v>
      </c>
      <c r="C8" s="57" t="s">
        <v>375</v>
      </c>
      <c r="D8" s="21" t="s">
        <v>377</v>
      </c>
      <c r="E8" s="21" t="s">
        <v>377</v>
      </c>
      <c r="F8" s="52" t="s">
        <v>376</v>
      </c>
      <c r="G8" s="58" t="s">
        <v>378</v>
      </c>
      <c r="H8" s="21" t="s">
        <v>377</v>
      </c>
    </row>
    <row r="9" customFormat="false" ht="15" hidden="false" customHeight="false" outlineLevel="0" collapsed="false">
      <c r="A9" s="56" t="s">
        <v>381</v>
      </c>
      <c r="B9" s="58" t="s">
        <v>378</v>
      </c>
      <c r="C9" s="57" t="s">
        <v>375</v>
      </c>
      <c r="D9" s="57" t="s">
        <v>375</v>
      </c>
      <c r="E9" s="21" t="s">
        <v>377</v>
      </c>
      <c r="F9" s="21" t="s">
        <v>377</v>
      </c>
      <c r="G9" s="21" t="s">
        <v>377</v>
      </c>
      <c r="H9" s="52" t="s">
        <v>376</v>
      </c>
    </row>
    <row r="10" customFormat="false" ht="15" hidden="false" customHeight="false" outlineLevel="0" collapsed="false">
      <c r="A10" s="59" t="s">
        <v>382</v>
      </c>
      <c r="B10" s="58" t="s">
        <v>378</v>
      </c>
      <c r="C10" s="21" t="s">
        <v>377</v>
      </c>
      <c r="D10" s="57" t="s">
        <v>375</v>
      </c>
      <c r="E10" s="52" t="s">
        <v>376</v>
      </c>
      <c r="F10" s="21" t="s">
        <v>377</v>
      </c>
      <c r="G10" s="58" t="s">
        <v>378</v>
      </c>
      <c r="H10" s="21" t="s">
        <v>377</v>
      </c>
    </row>
    <row r="11" customFormat="false" ht="15" hidden="false" customHeight="false" outlineLevel="0" collapsed="false">
      <c r="A11" s="56" t="s">
        <v>383</v>
      </c>
      <c r="B11" s="58" t="s">
        <v>378</v>
      </c>
      <c r="C11" s="58" t="s">
        <v>378</v>
      </c>
      <c r="D11" s="57" t="s">
        <v>375</v>
      </c>
      <c r="E11" s="21" t="s">
        <v>377</v>
      </c>
      <c r="F11" s="21" t="s">
        <v>377</v>
      </c>
      <c r="G11" s="21" t="s">
        <v>377</v>
      </c>
      <c r="H11" s="21" t="s">
        <v>377</v>
      </c>
    </row>
    <row r="12" customFormat="false" ht="15" hidden="false" customHeight="false" outlineLevel="0" collapsed="false">
      <c r="A12" s="59" t="s">
        <v>384</v>
      </c>
      <c r="B12" s="58" t="s">
        <v>378</v>
      </c>
      <c r="C12" s="57" t="s">
        <v>375</v>
      </c>
      <c r="D12" s="57" t="s">
        <v>375</v>
      </c>
      <c r="E12" s="21" t="s">
        <v>377</v>
      </c>
      <c r="F12" s="21" t="s">
        <v>377</v>
      </c>
      <c r="G12" s="52" t="s">
        <v>376</v>
      </c>
      <c r="H12" s="21" t="s">
        <v>377</v>
      </c>
    </row>
    <row r="13" customFormat="false" ht="15" hidden="false" customHeight="false" outlineLevel="0" collapsed="false">
      <c r="A13" s="56" t="s">
        <v>385</v>
      </c>
      <c r="B13" s="57" t="s">
        <v>375</v>
      </c>
      <c r="C13" s="57" t="s">
        <v>375</v>
      </c>
      <c r="D13" s="52" t="s">
        <v>376</v>
      </c>
      <c r="E13" s="58" t="s">
        <v>378</v>
      </c>
      <c r="F13" s="58" t="s">
        <v>378</v>
      </c>
      <c r="G13" s="58" t="s">
        <v>378</v>
      </c>
      <c r="H13" s="58" t="s">
        <v>378</v>
      </c>
    </row>
    <row r="14" customFormat="false" ht="15" hidden="false" customHeight="false" outlineLevel="0" collapsed="false">
      <c r="A14" s="59" t="s">
        <v>386</v>
      </c>
      <c r="B14" s="58" t="s">
        <v>378</v>
      </c>
      <c r="C14" s="57" t="s">
        <v>375</v>
      </c>
      <c r="D14" s="52" t="s">
        <v>376</v>
      </c>
      <c r="E14" s="21" t="s">
        <v>377</v>
      </c>
      <c r="F14" s="21" t="s">
        <v>377</v>
      </c>
      <c r="G14" s="21" t="s">
        <v>377</v>
      </c>
      <c r="H14" s="58" t="s">
        <v>378</v>
      </c>
    </row>
    <row r="15" customFormat="false" ht="15" hidden="false" customHeight="false" outlineLevel="0" collapsed="false">
      <c r="A15" s="56" t="s">
        <v>387</v>
      </c>
      <c r="B15" s="57" t="s">
        <v>375</v>
      </c>
      <c r="C15" s="57" t="s">
        <v>375</v>
      </c>
      <c r="D15" s="52" t="s">
        <v>376</v>
      </c>
      <c r="E15" s="21" t="s">
        <v>377</v>
      </c>
      <c r="F15" s="21" t="s">
        <v>377</v>
      </c>
      <c r="G15" s="21" t="s">
        <v>377</v>
      </c>
      <c r="H15" s="58" t="s">
        <v>378</v>
      </c>
    </row>
    <row r="16" customFormat="false" ht="15" hidden="false" customHeight="false" outlineLevel="0" collapsed="false">
      <c r="A16" s="59" t="s">
        <v>388</v>
      </c>
      <c r="B16" s="58" t="s">
        <v>378</v>
      </c>
      <c r="C16" s="58" t="s">
        <v>378</v>
      </c>
      <c r="D16" s="57" t="s">
        <v>375</v>
      </c>
      <c r="E16" s="52" t="s">
        <v>376</v>
      </c>
      <c r="F16" s="21" t="s">
        <v>377</v>
      </c>
      <c r="G16" s="21" t="s">
        <v>377</v>
      </c>
      <c r="H16" s="21" t="s">
        <v>377</v>
      </c>
    </row>
    <row r="19" customFormat="false" ht="15" hidden="false" customHeight="false" outlineLevel="0" collapsed="false">
      <c r="A19" s="12" t="s">
        <v>389</v>
      </c>
    </row>
    <row r="20" customFormat="false" ht="15" hidden="false" customHeight="false" outlineLevel="0" collapsed="false">
      <c r="A20" s="60" t="s">
        <v>376</v>
      </c>
      <c r="B20" s="61" t="s">
        <v>390</v>
      </c>
    </row>
    <row r="21" customFormat="false" ht="15" hidden="false" customHeight="false" outlineLevel="0" collapsed="false">
      <c r="A21" s="62" t="s">
        <v>375</v>
      </c>
      <c r="B21" s="61" t="s">
        <v>391</v>
      </c>
    </row>
    <row r="22" customFormat="false" ht="15" hidden="false" customHeight="false" outlineLevel="0" collapsed="false">
      <c r="A22" s="63" t="s">
        <v>377</v>
      </c>
      <c r="B22" s="61" t="s">
        <v>392</v>
      </c>
    </row>
    <row r="23" customFormat="false" ht="15" hidden="false" customHeight="false" outlineLevel="0" collapsed="false">
      <c r="A23" s="64" t="s">
        <v>378</v>
      </c>
      <c r="B23" s="61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24.45" hidden="false" customHeight="false" outlineLevel="0" collapsed="false">
      <c r="A1" s="1" t="s">
        <v>394</v>
      </c>
      <c r="G1" s="2" t="s">
        <v>1</v>
      </c>
    </row>
    <row r="2" customFormat="false" ht="15" hidden="false" customHeight="false" outlineLevel="0" collapsed="false">
      <c r="A2" s="3" t="s">
        <v>395</v>
      </c>
      <c r="G2" s="4" t="s">
        <v>3</v>
      </c>
    </row>
    <row r="4" customFormat="false" ht="15" hidden="false" customHeight="false" outlineLevel="0" collapsed="false">
      <c r="A4" s="13" t="s">
        <v>396</v>
      </c>
      <c r="B4" s="13" t="s">
        <v>17</v>
      </c>
      <c r="C4" s="13" t="s">
        <v>19</v>
      </c>
      <c r="D4" s="13" t="s">
        <v>397</v>
      </c>
      <c r="E4" s="13" t="s">
        <v>21</v>
      </c>
      <c r="F4" s="13" t="s">
        <v>398</v>
      </c>
      <c r="G4" s="13" t="s">
        <v>399</v>
      </c>
      <c r="H4" s="13" t="s">
        <v>400</v>
      </c>
    </row>
    <row r="5" customFormat="false" ht="23.85" hidden="false" customHeight="false" outlineLevel="0" collapsed="false">
      <c r="A5" s="15" t="s">
        <v>401</v>
      </c>
      <c r="B5" s="43" t="s">
        <v>34</v>
      </c>
      <c r="C5" s="15" t="s">
        <v>402</v>
      </c>
      <c r="D5" s="65" t="n">
        <v>46295</v>
      </c>
      <c r="E5" s="45" t="s">
        <v>403</v>
      </c>
      <c r="F5" s="15" t="s">
        <v>404</v>
      </c>
      <c r="G5" s="66" t="s">
        <v>405</v>
      </c>
      <c r="H5" s="15" t="s">
        <v>406</v>
      </c>
    </row>
    <row r="6" customFormat="false" ht="23.85" hidden="false" customHeight="false" outlineLevel="0" collapsed="false">
      <c r="A6" s="67" t="s">
        <v>407</v>
      </c>
      <c r="B6" s="43" t="s">
        <v>34</v>
      </c>
      <c r="C6" s="67" t="s">
        <v>408</v>
      </c>
      <c r="D6" s="68" t="n">
        <v>46310</v>
      </c>
      <c r="E6" s="45" t="s">
        <v>403</v>
      </c>
      <c r="F6" s="67" t="s">
        <v>409</v>
      </c>
      <c r="G6" s="66" t="s">
        <v>405</v>
      </c>
      <c r="H6" s="67" t="s">
        <v>410</v>
      </c>
    </row>
    <row r="7" customFormat="false" ht="35.05" hidden="false" customHeight="false" outlineLevel="0" collapsed="false">
      <c r="A7" s="15" t="s">
        <v>411</v>
      </c>
      <c r="B7" s="43" t="s">
        <v>34</v>
      </c>
      <c r="C7" s="15" t="s">
        <v>408</v>
      </c>
      <c r="D7" s="65" t="n">
        <v>46327</v>
      </c>
      <c r="E7" s="45" t="s">
        <v>403</v>
      </c>
      <c r="F7" s="15" t="s">
        <v>412</v>
      </c>
      <c r="G7" s="66" t="s">
        <v>405</v>
      </c>
      <c r="H7" s="15" t="s">
        <v>413</v>
      </c>
    </row>
    <row r="8" customFormat="false" ht="35.05" hidden="false" customHeight="false" outlineLevel="0" collapsed="false">
      <c r="A8" s="67" t="s">
        <v>414</v>
      </c>
      <c r="B8" s="32" t="s">
        <v>5</v>
      </c>
      <c r="C8" s="67" t="s">
        <v>136</v>
      </c>
      <c r="D8" s="68" t="n">
        <v>46446</v>
      </c>
      <c r="E8" s="45" t="s">
        <v>403</v>
      </c>
      <c r="F8" s="67" t="s">
        <v>415</v>
      </c>
      <c r="G8" s="66" t="s">
        <v>405</v>
      </c>
      <c r="H8" s="67" t="s">
        <v>416</v>
      </c>
    </row>
    <row r="9" customFormat="false" ht="23.85" hidden="false" customHeight="false" outlineLevel="0" collapsed="false">
      <c r="A9" s="15" t="s">
        <v>417</v>
      </c>
      <c r="B9" s="32" t="s">
        <v>5</v>
      </c>
      <c r="C9" s="15" t="s">
        <v>75</v>
      </c>
      <c r="D9" s="65" t="n">
        <v>46433</v>
      </c>
      <c r="E9" s="45" t="s">
        <v>403</v>
      </c>
      <c r="F9" s="15" t="s">
        <v>418</v>
      </c>
      <c r="G9" s="27" t="s">
        <v>419</v>
      </c>
      <c r="H9" s="15" t="s">
        <v>420</v>
      </c>
    </row>
    <row r="10" customFormat="false" ht="23.85" hidden="false" customHeight="false" outlineLevel="0" collapsed="false">
      <c r="A10" s="67" t="s">
        <v>421</v>
      </c>
      <c r="B10" s="32" t="s">
        <v>5</v>
      </c>
      <c r="C10" s="67" t="s">
        <v>422</v>
      </c>
      <c r="D10" s="68" t="n">
        <v>46265</v>
      </c>
      <c r="E10" s="45" t="s">
        <v>403</v>
      </c>
      <c r="F10" s="67" t="s">
        <v>423</v>
      </c>
      <c r="G10" s="27" t="s">
        <v>419</v>
      </c>
      <c r="H10" s="67" t="s">
        <v>424</v>
      </c>
    </row>
    <row r="11" customFormat="false" ht="35.05" hidden="false" customHeight="false" outlineLevel="0" collapsed="false">
      <c r="A11" s="15" t="s">
        <v>425</v>
      </c>
      <c r="B11" s="42" t="s">
        <v>29</v>
      </c>
      <c r="C11" s="15" t="s">
        <v>62</v>
      </c>
      <c r="D11" s="65" t="n">
        <v>46327</v>
      </c>
      <c r="E11" s="45" t="s">
        <v>403</v>
      </c>
      <c r="F11" s="15" t="s">
        <v>426</v>
      </c>
      <c r="G11" s="69" t="s">
        <v>427</v>
      </c>
      <c r="H11" s="15" t="s">
        <v>428</v>
      </c>
    </row>
    <row r="12" customFormat="false" ht="15" hidden="false" customHeight="false" outlineLevel="0" collapsed="false">
      <c r="A12" s="67" t="s">
        <v>429</v>
      </c>
      <c r="B12" s="42" t="s">
        <v>29</v>
      </c>
      <c r="C12" s="67" t="s">
        <v>62</v>
      </c>
      <c r="D12" s="68" t="n">
        <v>46357</v>
      </c>
      <c r="E12" s="45" t="s">
        <v>403</v>
      </c>
      <c r="F12" s="67" t="s">
        <v>430</v>
      </c>
      <c r="G12" s="69" t="s">
        <v>427</v>
      </c>
      <c r="H12" s="67" t="s">
        <v>431</v>
      </c>
    </row>
    <row r="13" customFormat="false" ht="15" hidden="false" customHeight="false" outlineLevel="0" collapsed="false">
      <c r="A13" s="15" t="s">
        <v>432</v>
      </c>
      <c r="B13" s="42" t="s">
        <v>29</v>
      </c>
      <c r="C13" s="15" t="s">
        <v>62</v>
      </c>
      <c r="D13" s="65" t="n">
        <v>46402</v>
      </c>
      <c r="E13" s="45" t="s">
        <v>403</v>
      </c>
      <c r="F13" s="15" t="s">
        <v>433</v>
      </c>
      <c r="G13" s="69" t="s">
        <v>427</v>
      </c>
      <c r="H13" s="15" t="s">
        <v>434</v>
      </c>
    </row>
    <row r="14" customFormat="false" ht="23.85" hidden="false" customHeight="false" outlineLevel="0" collapsed="false">
      <c r="A14" s="67" t="s">
        <v>435</v>
      </c>
      <c r="B14" s="45" t="s">
        <v>45</v>
      </c>
      <c r="C14" s="67" t="s">
        <v>66</v>
      </c>
      <c r="D14" s="68" t="n">
        <v>46402</v>
      </c>
      <c r="E14" s="45" t="s">
        <v>403</v>
      </c>
      <c r="F14" s="67" t="s">
        <v>436</v>
      </c>
      <c r="G14" s="69" t="s">
        <v>427</v>
      </c>
      <c r="H14" s="67" t="s">
        <v>437</v>
      </c>
    </row>
    <row r="15" customFormat="false" ht="23.85" hidden="false" customHeight="false" outlineLevel="0" collapsed="false">
      <c r="A15" s="15" t="s">
        <v>438</v>
      </c>
      <c r="B15" s="43" t="s">
        <v>34</v>
      </c>
      <c r="C15" s="15" t="s">
        <v>408</v>
      </c>
      <c r="D15" s="65" t="n">
        <v>46280</v>
      </c>
      <c r="E15" s="45" t="s">
        <v>403</v>
      </c>
      <c r="F15" s="15" t="s">
        <v>439</v>
      </c>
      <c r="G15" s="66" t="s">
        <v>405</v>
      </c>
      <c r="H15" s="15" t="s">
        <v>440</v>
      </c>
    </row>
    <row r="16" customFormat="false" ht="23.85" hidden="false" customHeight="false" outlineLevel="0" collapsed="false">
      <c r="A16" s="67" t="s">
        <v>441</v>
      </c>
      <c r="B16" s="42" t="s">
        <v>29</v>
      </c>
      <c r="C16" s="67" t="s">
        <v>442</v>
      </c>
      <c r="D16" s="68" t="n">
        <v>46280</v>
      </c>
      <c r="E16" s="45" t="s">
        <v>403</v>
      </c>
      <c r="F16" s="67" t="s">
        <v>443</v>
      </c>
      <c r="G16" s="27" t="s">
        <v>419</v>
      </c>
      <c r="H16" s="67" t="s">
        <v>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  <col collapsed="false" customWidth="true" hidden="false" outlineLevel="0" max="8" min="8" style="0" width="24"/>
  </cols>
  <sheetData>
    <row r="1" customFormat="false" ht="24.45" hidden="false" customHeight="false" outlineLevel="0" collapsed="false">
      <c r="A1" s="1" t="s">
        <v>445</v>
      </c>
      <c r="G1" s="2" t="s">
        <v>1</v>
      </c>
    </row>
    <row r="2" customFormat="false" ht="15" hidden="false" customHeight="false" outlineLevel="0" collapsed="false">
      <c r="A2" s="3" t="s">
        <v>446</v>
      </c>
      <c r="G2" s="4" t="s">
        <v>3</v>
      </c>
    </row>
    <row r="4" customFormat="false" ht="15" hidden="false" customHeight="false" outlineLevel="0" collapsed="false">
      <c r="A4" s="13" t="s">
        <v>50</v>
      </c>
      <c r="B4" s="13" t="s">
        <v>17</v>
      </c>
      <c r="C4" s="13" t="s">
        <v>51</v>
      </c>
      <c r="D4" s="13" t="s">
        <v>52</v>
      </c>
      <c r="E4" s="13" t="s">
        <v>53</v>
      </c>
      <c r="F4" s="13" t="s">
        <v>447</v>
      </c>
      <c r="G4" s="13" t="s">
        <v>448</v>
      </c>
      <c r="H4" s="13" t="s">
        <v>19</v>
      </c>
    </row>
    <row r="5" customFormat="false" ht="15" hidden="false" customHeight="false" outlineLevel="0" collapsed="false">
      <c r="A5" s="70" t="s">
        <v>55</v>
      </c>
      <c r="B5" s="43" t="s">
        <v>34</v>
      </c>
      <c r="C5" s="71" t="s">
        <v>56</v>
      </c>
      <c r="D5" s="71" t="s">
        <v>57</v>
      </c>
      <c r="E5" s="71" t="s">
        <v>58</v>
      </c>
      <c r="F5" s="71" t="str">
        <f aca="false">IF(E5="—","—",E5&amp;" vs "&amp;D5)</f>
        <v>—</v>
      </c>
      <c r="G5" s="71" t="s">
        <v>58</v>
      </c>
      <c r="H5" s="33" t="s">
        <v>36</v>
      </c>
    </row>
    <row r="6" customFormat="false" ht="15" hidden="false" customHeight="false" outlineLevel="0" collapsed="false">
      <c r="A6" s="72" t="s">
        <v>449</v>
      </c>
      <c r="B6" s="43" t="s">
        <v>34</v>
      </c>
      <c r="C6" s="73" t="s">
        <v>450</v>
      </c>
      <c r="D6" s="73" t="s">
        <v>451</v>
      </c>
      <c r="E6" s="73" t="s">
        <v>58</v>
      </c>
      <c r="F6" s="73" t="str">
        <f aca="false">IF(E6="—","—",E6&amp;" vs "&amp;D6)</f>
        <v>—</v>
      </c>
      <c r="G6" s="73" t="s">
        <v>58</v>
      </c>
      <c r="H6" s="39" t="s">
        <v>36</v>
      </c>
    </row>
    <row r="7" customFormat="false" ht="15" hidden="false" customHeight="false" outlineLevel="0" collapsed="false">
      <c r="A7" s="70" t="s">
        <v>452</v>
      </c>
      <c r="B7" s="43" t="s">
        <v>34</v>
      </c>
      <c r="C7" s="71" t="s">
        <v>453</v>
      </c>
      <c r="D7" s="71" t="s">
        <v>68</v>
      </c>
      <c r="E7" s="71" t="s">
        <v>58</v>
      </c>
      <c r="F7" s="71" t="str">
        <f aca="false">IF(E7="—","—",E7&amp;" vs "&amp;D7)</f>
        <v>—</v>
      </c>
      <c r="G7" s="71" t="s">
        <v>58</v>
      </c>
      <c r="H7" s="33" t="s">
        <v>36</v>
      </c>
    </row>
    <row r="8" customFormat="false" ht="15" hidden="false" customHeight="false" outlineLevel="0" collapsed="false">
      <c r="A8" s="72" t="s">
        <v>59</v>
      </c>
      <c r="B8" s="42" t="s">
        <v>29</v>
      </c>
      <c r="C8" s="73" t="s">
        <v>60</v>
      </c>
      <c r="D8" s="73" t="s">
        <v>61</v>
      </c>
      <c r="E8" s="73" t="s">
        <v>58</v>
      </c>
      <c r="F8" s="73" t="str">
        <f aca="false">IF(E8="—","—",E8&amp;" vs "&amp;D8)</f>
        <v>—</v>
      </c>
      <c r="G8" s="73" t="s">
        <v>58</v>
      </c>
      <c r="H8" s="39" t="s">
        <v>62</v>
      </c>
    </row>
    <row r="9" customFormat="false" ht="15" hidden="false" customHeight="false" outlineLevel="0" collapsed="false">
      <c r="A9" s="70" t="s">
        <v>454</v>
      </c>
      <c r="B9" s="42" t="s">
        <v>29</v>
      </c>
      <c r="C9" s="71" t="s">
        <v>455</v>
      </c>
      <c r="D9" s="71" t="s">
        <v>456</v>
      </c>
      <c r="E9" s="71" t="s">
        <v>58</v>
      </c>
      <c r="F9" s="71" t="str">
        <f aca="false">IF(E9="—","—",E9&amp;" vs "&amp;D9)</f>
        <v>—</v>
      </c>
      <c r="G9" s="71" t="s">
        <v>58</v>
      </c>
      <c r="H9" s="33" t="s">
        <v>62</v>
      </c>
    </row>
    <row r="10" customFormat="false" ht="15" hidden="false" customHeight="false" outlineLevel="0" collapsed="false">
      <c r="A10" s="72" t="s">
        <v>457</v>
      </c>
      <c r="B10" s="42" t="s">
        <v>29</v>
      </c>
      <c r="C10" s="73" t="s">
        <v>458</v>
      </c>
      <c r="D10" s="73" t="s">
        <v>459</v>
      </c>
      <c r="E10" s="73" t="s">
        <v>58</v>
      </c>
      <c r="F10" s="73" t="str">
        <f aca="false">IF(E10="—","—",E10&amp;" vs "&amp;D10)</f>
        <v>—</v>
      </c>
      <c r="G10" s="73" t="s">
        <v>58</v>
      </c>
      <c r="H10" s="39" t="s">
        <v>62</v>
      </c>
    </row>
    <row r="11" customFormat="false" ht="15" hidden="false" customHeight="false" outlineLevel="0" collapsed="false">
      <c r="A11" s="70" t="s">
        <v>63</v>
      </c>
      <c r="B11" s="45" t="s">
        <v>45</v>
      </c>
      <c r="C11" s="71" t="s">
        <v>64</v>
      </c>
      <c r="D11" s="71" t="s">
        <v>65</v>
      </c>
      <c r="E11" s="71" t="s">
        <v>58</v>
      </c>
      <c r="F11" s="71" t="str">
        <f aca="false">IF(E11="—","—",E11&amp;" vs "&amp;D11)</f>
        <v>—</v>
      </c>
      <c r="G11" s="71" t="s">
        <v>58</v>
      </c>
      <c r="H11" s="33" t="s">
        <v>66</v>
      </c>
    </row>
    <row r="12" customFormat="false" ht="15" hidden="false" customHeight="false" outlineLevel="0" collapsed="false">
      <c r="A12" s="72" t="s">
        <v>460</v>
      </c>
      <c r="B12" s="45" t="s">
        <v>45</v>
      </c>
      <c r="C12" s="73" t="s">
        <v>58</v>
      </c>
      <c r="D12" s="73" t="s">
        <v>458</v>
      </c>
      <c r="E12" s="73" t="s">
        <v>58</v>
      </c>
      <c r="F12" s="73" t="str">
        <f aca="false">IF(E12="—","—",E12&amp;" vs "&amp;D12)</f>
        <v>—</v>
      </c>
      <c r="G12" s="73" t="s">
        <v>58</v>
      </c>
      <c r="H12" s="39" t="s">
        <v>47</v>
      </c>
    </row>
    <row r="13" customFormat="false" ht="15" hidden="false" customHeight="false" outlineLevel="0" collapsed="false">
      <c r="A13" s="70" t="s">
        <v>461</v>
      </c>
      <c r="B13" s="32" t="s">
        <v>5</v>
      </c>
      <c r="C13" s="71" t="s">
        <v>58</v>
      </c>
      <c r="D13" s="71" t="s">
        <v>57</v>
      </c>
      <c r="E13" s="71" t="s">
        <v>58</v>
      </c>
      <c r="F13" s="71" t="str">
        <f aca="false">IF(E13="—","—",E13&amp;" vs "&amp;D13)</f>
        <v>—</v>
      </c>
      <c r="G13" s="71" t="s">
        <v>58</v>
      </c>
      <c r="H13" s="33" t="s">
        <v>75</v>
      </c>
    </row>
    <row r="14" customFormat="false" ht="15" hidden="false" customHeight="false" outlineLevel="0" collapsed="false">
      <c r="A14" s="72" t="s">
        <v>462</v>
      </c>
      <c r="B14" s="44" t="s">
        <v>40</v>
      </c>
      <c r="C14" s="73" t="s">
        <v>68</v>
      </c>
      <c r="D14" s="73" t="s">
        <v>69</v>
      </c>
      <c r="E14" s="73" t="s">
        <v>58</v>
      </c>
      <c r="F14" s="73" t="str">
        <f aca="false">IF(E14="—","—",E14&amp;" vs "&amp;D14)</f>
        <v>—</v>
      </c>
      <c r="G14" s="73" t="s">
        <v>58</v>
      </c>
      <c r="H14" s="39" t="s">
        <v>42</v>
      </c>
    </row>
    <row r="15" customFormat="false" ht="15" hidden="false" customHeight="false" outlineLevel="0" collapsed="false">
      <c r="A15" s="70" t="s">
        <v>463</v>
      </c>
      <c r="B15" s="32" t="s">
        <v>5</v>
      </c>
      <c r="C15" s="71" t="s">
        <v>58</v>
      </c>
      <c r="D15" s="71" t="s">
        <v>464</v>
      </c>
      <c r="E15" s="71" t="s">
        <v>58</v>
      </c>
      <c r="F15" s="71" t="str">
        <f aca="false">IF(E15="—","—",E15&amp;" vs "&amp;D15)</f>
        <v>—</v>
      </c>
      <c r="G15" s="71" t="s">
        <v>58</v>
      </c>
      <c r="H15" s="33" t="s">
        <v>201</v>
      </c>
    </row>
    <row r="16" customFormat="false" ht="15" hidden="false" customHeight="false" outlineLevel="0" collapsed="false">
      <c r="A16" s="72" t="s">
        <v>71</v>
      </c>
      <c r="B16" s="32" t="s">
        <v>5</v>
      </c>
      <c r="C16" s="73" t="s">
        <v>64</v>
      </c>
      <c r="D16" s="73" t="s">
        <v>72</v>
      </c>
      <c r="E16" s="73" t="s">
        <v>58</v>
      </c>
      <c r="F16" s="73" t="str">
        <f aca="false">IF(E16="—","—",E16&amp;" vs "&amp;D16)</f>
        <v>—</v>
      </c>
      <c r="G16" s="73" t="s">
        <v>58</v>
      </c>
      <c r="H16" s="39" t="s">
        <v>94</v>
      </c>
    </row>
    <row r="19" customFormat="false" ht="15" hidden="false" customHeight="false" outlineLevel="0" collapsed="false">
      <c r="A19" s="74" t="s">
        <v>465</v>
      </c>
    </row>
    <row r="20" customFormat="false" ht="15" hidden="false" customHeight="false" outlineLevel="0" collapsed="false">
      <c r="A20" s="51" t="s">
        <v>50</v>
      </c>
      <c r="B20" s="51" t="s">
        <v>466</v>
      </c>
      <c r="C20" s="51" t="s">
        <v>467</v>
      </c>
      <c r="D20" s="51" t="s">
        <v>468</v>
      </c>
      <c r="E20" s="51" t="s">
        <v>469</v>
      </c>
      <c r="F20" s="51" t="s">
        <v>470</v>
      </c>
      <c r="G20" s="51" t="s">
        <v>471</v>
      </c>
    </row>
    <row r="21" customFormat="false" ht="15" hidden="false" customHeight="false" outlineLevel="0" collapsed="false">
      <c r="A21" s="56" t="s">
        <v>71</v>
      </c>
      <c r="B21" s="73" t="s">
        <v>472</v>
      </c>
      <c r="C21" s="73" t="s">
        <v>473</v>
      </c>
      <c r="D21" s="73" t="s">
        <v>474</v>
      </c>
      <c r="E21" s="73" t="s">
        <v>475</v>
      </c>
      <c r="F21" s="73" t="s">
        <v>476</v>
      </c>
      <c r="G21" s="73" t="s">
        <v>72</v>
      </c>
    </row>
    <row r="22" customFormat="false" ht="15" hidden="false" customHeight="false" outlineLevel="0" collapsed="false">
      <c r="A22" s="75" t="s">
        <v>477</v>
      </c>
      <c r="B22" s="71" t="s">
        <v>68</v>
      </c>
      <c r="C22" s="71" t="s">
        <v>478</v>
      </c>
      <c r="D22" s="71" t="s">
        <v>479</v>
      </c>
      <c r="E22" s="71" t="s">
        <v>480</v>
      </c>
      <c r="F22" s="71" t="s">
        <v>481</v>
      </c>
      <c r="G22" s="71" t="s">
        <v>481</v>
      </c>
    </row>
    <row r="23" customFormat="false" ht="15" hidden="false" customHeight="false" outlineLevel="0" collapsed="false">
      <c r="A23" s="56" t="s">
        <v>482</v>
      </c>
      <c r="B23" s="73" t="s">
        <v>58</v>
      </c>
      <c r="C23" s="73" t="s">
        <v>58</v>
      </c>
      <c r="D23" s="73" t="s">
        <v>483</v>
      </c>
      <c r="E23" s="73" t="s">
        <v>484</v>
      </c>
      <c r="F23" s="73" t="s">
        <v>57</v>
      </c>
      <c r="G23" s="73" t="s">
        <v>57</v>
      </c>
    </row>
    <row r="24" customFormat="false" ht="15" hidden="false" customHeight="false" outlineLevel="0" collapsed="false">
      <c r="A24" s="75" t="s">
        <v>485</v>
      </c>
      <c r="B24" s="71" t="s">
        <v>64</v>
      </c>
      <c r="C24" s="71" t="s">
        <v>64</v>
      </c>
      <c r="D24" s="71" t="s">
        <v>64</v>
      </c>
      <c r="E24" s="71" t="s">
        <v>64</v>
      </c>
      <c r="F24" s="71" t="s">
        <v>486</v>
      </c>
      <c r="G24" s="71" t="s">
        <v>475</v>
      </c>
    </row>
    <row r="25" customFormat="false" ht="15" hidden="false" customHeight="false" outlineLevel="0" collapsed="false">
      <c r="A25" s="56" t="s">
        <v>67</v>
      </c>
      <c r="B25" s="73" t="s">
        <v>68</v>
      </c>
      <c r="C25" s="73" t="s">
        <v>478</v>
      </c>
      <c r="D25" s="73" t="s">
        <v>487</v>
      </c>
      <c r="E25" s="73" t="s">
        <v>480</v>
      </c>
      <c r="F25" s="73" t="s">
        <v>69</v>
      </c>
      <c r="G25" s="73" t="s">
        <v>69</v>
      </c>
    </row>
    <row r="26" customFormat="false" ht="15" hidden="false" customHeight="false" outlineLevel="0" collapsed="false">
      <c r="A26" s="75" t="s">
        <v>488</v>
      </c>
      <c r="B26" s="71" t="s">
        <v>486</v>
      </c>
      <c r="C26" s="71" t="s">
        <v>458</v>
      </c>
      <c r="D26" s="71" t="s">
        <v>489</v>
      </c>
      <c r="E26" s="71" t="s">
        <v>476</v>
      </c>
      <c r="F26" s="71" t="s">
        <v>490</v>
      </c>
      <c r="G26" s="71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2026-04-19T17:41:03Z</dcterms:created>
  <dc:creator>Praxion HROS Programme Office</dc:creator>
  <dc:description/>
  <dc:language>en-US</dc:language>
  <cp:lastModifiedBy/>
  <dcterms:modified xsi:type="dcterms:W3CDTF">2026-04-19T17:41:03Z</dcterms:modified>
  <cp:revision>0</cp:revision>
  <dc:subject>Phase-1 operational tracker</dc:subject>
  <dc:title>Praxion HROS — Phase-1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